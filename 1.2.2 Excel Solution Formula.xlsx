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ata Examples\1. Org Chart Overhaul\"/>
    </mc:Choice>
  </mc:AlternateContent>
  <xr:revisionPtr revIDLastSave="0" documentId="13_ncr:1_{B8326DBA-33D2-4F5B-A08E-957920704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fficeSpace (1)" sheetId="2" r:id="rId1"/>
    <sheet name="Sheet1" sheetId="1" r:id="rId2"/>
  </sheets>
  <definedNames>
    <definedName name="DatosExternos_1" localSheetId="0" hidden="1">'OfficeSpace (1)'!$A$1:$B$26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E18" i="2" l="1"/>
  <c r="E12" i="2"/>
  <c r="E23" i="2"/>
  <c r="E11" i="2"/>
  <c r="E6" i="2"/>
  <c r="E24" i="2"/>
  <c r="E22" i="2"/>
  <c r="E10" i="2"/>
  <c r="E21" i="2"/>
  <c r="E9" i="2"/>
  <c r="E20" i="2"/>
  <c r="E8" i="2"/>
  <c r="E19" i="2"/>
  <c r="E7" i="2"/>
  <c r="E17" i="2"/>
  <c r="E5" i="2"/>
  <c r="E16" i="2"/>
  <c r="E4" i="2"/>
  <c r="E15" i="2"/>
  <c r="E3" i="2"/>
  <c r="E26" i="2"/>
  <c r="E14" i="2"/>
  <c r="E25" i="2"/>
  <c r="E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DD5DA9-635B-4B04-A47B-F9EDC71A5786}" keepAlive="1" name="Consulta - OfficeSpace (1)" description="Conexión a la consulta 'OfficeSpace (1)' en el libro." type="5" refreshedVersion="8" background="1" saveData="1">
    <dbPr connection="Provider=Microsoft.Mashup.OleDb.1;Data Source=$Workbook$;Location=&quot;OfficeSpace (1)&quot;;Extended Properties=&quot;&quot;" command="SELECT * FROM [OfficeSpace (1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<sst xmlns="http://schemas.openxmlformats.org/spreadsheetml/2006/main" count="55" uniqueCount="31">
  <si>
    <t>Employee Name</t>
  </si>
  <si>
    <t>Manager Name</t>
  </si>
  <si>
    <t>Bill Lumbergh</t>
  </si>
  <si>
    <t/>
  </si>
  <si>
    <t>Bob Slydell</t>
  </si>
  <si>
    <t>Bob Porter</t>
  </si>
  <si>
    <t>Linda M. Grayson</t>
  </si>
  <si>
    <t>Dom Portwood</t>
  </si>
  <si>
    <t>Wendy L. Hargrove</t>
  </si>
  <si>
    <t>Tom Smykowski</t>
  </si>
  <si>
    <t>Nathan R. Ross</t>
  </si>
  <si>
    <t>Peter Gibbons</t>
  </si>
  <si>
    <t>Cheryl T. Ackerman</t>
  </si>
  <si>
    <t>Samir Nagheenanajar</t>
  </si>
  <si>
    <t>Michael Bolton</t>
  </si>
  <si>
    <t>Nathan C. Carter</t>
  </si>
  <si>
    <t>Lydia Bennett</t>
  </si>
  <si>
    <t>Greg S. Torres</t>
  </si>
  <si>
    <t>Alice L. Munroe</t>
  </si>
  <si>
    <t>Peggy Carlson</t>
  </si>
  <si>
    <t>Anne Martinez</t>
  </si>
  <si>
    <t>Fred Wilkinson</t>
  </si>
  <si>
    <t>Derek P. Phillips</t>
  </si>
  <si>
    <t>Sarah J. Greene</t>
  </si>
  <si>
    <t>Alan B. Peterson</t>
  </si>
  <si>
    <t>Maria D. Sanchez</t>
  </si>
  <si>
    <t>Bobbie K. Jenkins</t>
  </si>
  <si>
    <t>Milton Waddams</t>
  </si>
  <si>
    <t>Direct Reports</t>
  </si>
  <si>
    <t>Total Reports</t>
  </si>
  <si>
    <t>Reporting Heirarchi (Manager drilldown)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</si>
</sst>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0C7DB26-EE50-4D0C-BE3E-377C6594C4BD}" autoFormatId="16" applyNumberFormats="0" applyBorderFormats="0" applyFontFormats="0" applyPatternFormats="0" applyAlignmentFormats="0" applyWidthHeightFormats="0">
  <queryTableRefresh nextId="8" unboundColumnsRight="3">
    <queryTableFields count="5">
      <queryTableField id="1" name="Employee Name" tableColumnId="1"/>
      <queryTableField id="2" name="Manager Name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3AF3B-8750-40D1-ABB0-11BCC4F44811}" name="OfficeSpace__1" displayName="OfficeSpace__1" ref="A1:E26" tableType="queryTable" totalsRowShown="0">
  <autoFilter ref="A1:E26" xr:uid="{4783AF3B-8750-40D1-ABB0-11BCC4F44811}"/>
  <tableColumns count="5">
    <tableColumn id="1" xr3:uid="{4A8EB37E-F67C-4650-B3AF-5C359AC87C1F}" uniqueName="1" name="Employee Name" queryTableFieldId="1" dataDxfId="4"/>
    <tableColumn id="2" xr3:uid="{4887D151-08D3-4DE4-A734-9ABBC3AA63FA}" uniqueName="2" name="Manager Name" queryTableFieldId="2" dataDxfId="3"/>
    <tableColumn id="3" xr3:uid="{F1640E1E-E26B-435D-8360-D7F193F6650B}" uniqueName="3" name="Reporting Heirarchi (Manager drilldown)" queryTableFieldId="3" dataDxfId="2">
      <calculatedColumnFormula array="1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calculatedColumnFormula>
    </tableColumn>
    <tableColumn id="4" xr3:uid="{7C464206-972E-402F-AC66-33EB77EB9E9C}" uniqueName="4" name="Direct Reports" queryTableFieldId="4" dataDxfId="1">
      <calculatedColumnFormula>COUNTIFS(OfficeSpace__1[Manager Name],OfficeSpace__1[[#This Row],[Employee Name]])</calculatedColumnFormula>
    </tableColumn>
    <tableColumn id="5" xr3:uid="{2186BD4D-ED66-462F-A405-D366E4599E52}" uniqueName="5" name="Total Reports" queryTableFieldId="5" dataDxfId="0">
      <calculatedColumnFormula>COUNTIFS(OfficeSpace__1[Reporting Heirarchi (Manager drilldown)],"*"&amp;OfficeSpace__1[[#This Row],[Employee Name]]&amp;"*")-1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3288-61A8-4AB2-9AC6-98997CB44DC5}">
  <dimension ref="A1:E26"/>
  <sheetViews>
    <sheetView tabSelected="1" workbookViewId="0">
      <selection activeCell="C2" sqref="C2"/>
    </sheetView>
  </sheetViews>
  <sheetFormatPr baseColWidth="10" defaultRowHeight="14.4" x14ac:dyDescent="0.3"/>
  <cols>
    <col min="1" max="2" width="18.44140625" bestFit="1" customWidth="1"/>
    <col min="3" max="3" width="77" bestFit="1" customWidth="1"/>
    <col min="4" max="4" width="15" bestFit="1" customWidth="1"/>
    <col min="5" max="5" width="14.33203125" bestFit="1" customWidth="1"/>
  </cols>
  <sheetData>
    <row r="1" spans="1:5" x14ac:dyDescent="0.3">
      <c r="A1" t="s">
        <v>0</v>
      </c>
      <c r="B1" t="s">
        <v>1</v>
      </c>
      <c r="C1" t="s">
        <v>30</v>
      </c>
      <c r="D1" t="s">
        <v>28</v>
      </c>
      <c r="E1" t="s">
        <v>29</v>
      </c>
    </row>
    <row r="2" spans="1:5" x14ac:dyDescent="0.3">
      <c r="A2" t="s">
        <v>2</v>
      </c>
      <c r="B2" t="s">
        <v>3</v>
      </c>
      <c r="C2" t="str" cm="1">
        <f t="array" ref="C2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</v>
      </c>
      <c r="D2">
        <f>COUNTIFS(OfficeSpace__1[Manager Name],OfficeSpace__1[[#This Row],[Employee Name]])</f>
        <v>3</v>
      </c>
      <c r="E2">
        <f>COUNTIFS(OfficeSpace__1[Reporting Heirarchi (Manager drilldown)],"*"&amp;OfficeSpace__1[[#This Row],[Employee Name]]&amp;"*")-1</f>
        <v>24</v>
      </c>
    </row>
    <row r="3" spans="1:5" x14ac:dyDescent="0.3">
      <c r="A3" t="s">
        <v>4</v>
      </c>
      <c r="B3" t="s">
        <v>2</v>
      </c>
      <c r="C3" t="str" cm="1">
        <f t="array" ref="C3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Bill Lumbergh &gt; Bob Slydell</v>
      </c>
      <c r="D3">
        <f>COUNTIFS(OfficeSpace__1[Manager Name],OfficeSpace__1[[#This Row],[Employee Name]])</f>
        <v>0</v>
      </c>
      <c r="E3">
        <f>COUNTIFS(OfficeSpace__1[Reporting Heirarchi (Manager drilldown)],"*"&amp;OfficeSpace__1[[#This Row],[Employee Name]]&amp;"*")-1</f>
        <v>0</v>
      </c>
    </row>
    <row r="4" spans="1:5" x14ac:dyDescent="0.3">
      <c r="A4" t="s">
        <v>5</v>
      </c>
      <c r="B4" t="s">
        <v>2</v>
      </c>
      <c r="C4" t="str" cm="1">
        <f t="array" ref="C4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Bill Lumbergh &gt; Bob Porter</v>
      </c>
      <c r="D4">
        <f>COUNTIFS(OfficeSpace__1[Manager Name],OfficeSpace__1[[#This Row],[Employee Name]])</f>
        <v>0</v>
      </c>
      <c r="E4">
        <f>COUNTIFS(OfficeSpace__1[Reporting Heirarchi (Manager drilldown)],"*"&amp;OfficeSpace__1[[#This Row],[Employee Name]]&amp;"*")-1</f>
        <v>0</v>
      </c>
    </row>
    <row r="5" spans="1:5" x14ac:dyDescent="0.3">
      <c r="A5" t="s">
        <v>6</v>
      </c>
      <c r="B5" t="s">
        <v>2</v>
      </c>
      <c r="C5" t="str" cm="1">
        <f t="array" ref="C5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Bill Lumbergh &gt; Linda M. Grayson</v>
      </c>
      <c r="D5">
        <f>COUNTIFS(OfficeSpace__1[Manager Name],OfficeSpace__1[[#This Row],[Employee Name]])</f>
        <v>4</v>
      </c>
      <c r="E5">
        <f>COUNTIFS(OfficeSpace__1[Reporting Heirarchi (Manager drilldown)],"*"&amp;OfficeSpace__1[[#This Row],[Employee Name]]&amp;"*")-1</f>
        <v>21</v>
      </c>
    </row>
    <row r="6" spans="1:5" x14ac:dyDescent="0.3">
      <c r="A6" t="s">
        <v>7</v>
      </c>
      <c r="B6" t="s">
        <v>6</v>
      </c>
      <c r="C6" t="str" cm="1">
        <f t="array" ref="C6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Linda M. Grayson &gt; Dom Portwood</v>
      </c>
      <c r="D6">
        <f>COUNTIFS(OfficeSpace__1[Manager Name],OfficeSpace__1[[#This Row],[Employee Name]])</f>
        <v>3</v>
      </c>
      <c r="E6">
        <f>COUNTIFS(OfficeSpace__1[Reporting Heirarchi (Manager drilldown)],"*"&amp;OfficeSpace__1[[#This Row],[Employee Name]]&amp;"*")-1</f>
        <v>8</v>
      </c>
    </row>
    <row r="7" spans="1:5" x14ac:dyDescent="0.3">
      <c r="A7" t="s">
        <v>8</v>
      </c>
      <c r="B7" t="s">
        <v>6</v>
      </c>
      <c r="C7" t="str" cm="1">
        <f t="array" ref="C7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Linda M. Grayson &gt; Wendy L. Hargrove</v>
      </c>
      <c r="D7">
        <f>COUNTIFS(OfficeSpace__1[Manager Name],OfficeSpace__1[[#This Row],[Employee Name]])</f>
        <v>3</v>
      </c>
      <c r="E7">
        <f>COUNTIFS(OfficeSpace__1[Reporting Heirarchi (Manager drilldown)],"*"&amp;OfficeSpace__1[[#This Row],[Employee Name]]&amp;"*")-1</f>
        <v>3</v>
      </c>
    </row>
    <row r="8" spans="1:5" x14ac:dyDescent="0.3">
      <c r="A8" t="s">
        <v>9</v>
      </c>
      <c r="B8" t="s">
        <v>6</v>
      </c>
      <c r="C8" t="str" cm="1">
        <f t="array" ref="C8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Linda M. Grayson &gt; Tom Smykowski</v>
      </c>
      <c r="D8">
        <f>COUNTIFS(OfficeSpace__1[Manager Name],OfficeSpace__1[[#This Row],[Employee Name]])</f>
        <v>2</v>
      </c>
      <c r="E8">
        <f>COUNTIFS(OfficeSpace__1[Reporting Heirarchi (Manager drilldown)],"*"&amp;OfficeSpace__1[[#This Row],[Employee Name]]&amp;"*")-1</f>
        <v>3</v>
      </c>
    </row>
    <row r="9" spans="1:5" x14ac:dyDescent="0.3">
      <c r="A9" t="s">
        <v>10</v>
      </c>
      <c r="B9" t="s">
        <v>6</v>
      </c>
      <c r="C9" t="str" cm="1">
        <f t="array" ref="C9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Linda M. Grayson &gt; Nathan R. Ross</v>
      </c>
      <c r="D9">
        <f>COUNTIFS(OfficeSpace__1[Manager Name],OfficeSpace__1[[#This Row],[Employee Name]])</f>
        <v>1</v>
      </c>
      <c r="E9">
        <f>COUNTIFS(OfficeSpace__1[Reporting Heirarchi (Manager drilldown)],"*"&amp;OfficeSpace__1[[#This Row],[Employee Name]]&amp;"*")-1</f>
        <v>3</v>
      </c>
    </row>
    <row r="10" spans="1:5" x14ac:dyDescent="0.3">
      <c r="A10" t="s">
        <v>11</v>
      </c>
      <c r="B10" t="s">
        <v>7</v>
      </c>
      <c r="C10" t="str" cm="1">
        <f t="array" ref="C10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Dom Portwood &gt; Dom Portwood &gt; Peter Gibbons</v>
      </c>
      <c r="D10">
        <f>COUNTIFS(OfficeSpace__1[Manager Name],OfficeSpace__1[[#This Row],[Employee Name]])</f>
        <v>1</v>
      </c>
      <c r="E10">
        <f>COUNTIFS(OfficeSpace__1[Reporting Heirarchi (Manager drilldown)],"*"&amp;OfficeSpace__1[[#This Row],[Employee Name]]&amp;"*")-1</f>
        <v>1</v>
      </c>
    </row>
    <row r="11" spans="1:5" x14ac:dyDescent="0.3">
      <c r="A11" t="s">
        <v>12</v>
      </c>
      <c r="B11" t="s">
        <v>11</v>
      </c>
      <c r="C11" t="str" cm="1">
        <f t="array" ref="C11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Dom Portwood &gt; Peter Gibbons &gt; Peter Gibbons &gt; Cheryl T. Ackerman</v>
      </c>
      <c r="D11">
        <f>COUNTIFS(OfficeSpace__1[Manager Name],OfficeSpace__1[[#This Row],[Employee Name]])</f>
        <v>0</v>
      </c>
      <c r="E11">
        <f>COUNTIFS(OfficeSpace__1[Reporting Heirarchi (Manager drilldown)],"*"&amp;OfficeSpace__1[[#This Row],[Employee Name]]&amp;"*")-1</f>
        <v>0</v>
      </c>
    </row>
    <row r="12" spans="1:5" x14ac:dyDescent="0.3">
      <c r="A12" t="s">
        <v>13</v>
      </c>
      <c r="B12" t="s">
        <v>7</v>
      </c>
      <c r="C12" t="str" cm="1">
        <f t="array" ref="C12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Dom Portwood &gt; Dom Portwood &gt; Samir Nagheenanajar</v>
      </c>
      <c r="D12">
        <f>COUNTIFS(OfficeSpace__1[Manager Name],OfficeSpace__1[[#This Row],[Employee Name]])</f>
        <v>1</v>
      </c>
      <c r="E12">
        <f>COUNTIFS(OfficeSpace__1[Reporting Heirarchi (Manager drilldown)],"*"&amp;OfficeSpace__1[[#This Row],[Employee Name]]&amp;"*")-1</f>
        <v>1</v>
      </c>
    </row>
    <row r="13" spans="1:5" x14ac:dyDescent="0.3">
      <c r="A13" t="s">
        <v>14</v>
      </c>
      <c r="B13" t="s">
        <v>13</v>
      </c>
      <c r="C13" t="str" cm="1">
        <f t="array" ref="C13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Dom Portwood &gt; Samir Nagheenanajar &gt; Samir Nagheenanajar &gt; Michael Bolton</v>
      </c>
      <c r="D13">
        <f>COUNTIFS(OfficeSpace__1[Manager Name],OfficeSpace__1[[#This Row],[Employee Name]])</f>
        <v>0</v>
      </c>
      <c r="E13">
        <f>COUNTIFS(OfficeSpace__1[Reporting Heirarchi (Manager drilldown)],"*"&amp;OfficeSpace__1[[#This Row],[Employee Name]]&amp;"*")-1</f>
        <v>0</v>
      </c>
    </row>
    <row r="14" spans="1:5" x14ac:dyDescent="0.3">
      <c r="A14" t="s">
        <v>15</v>
      </c>
      <c r="B14" t="s">
        <v>7</v>
      </c>
      <c r="C14" t="str" cm="1">
        <f t="array" ref="C14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Dom Portwood &gt; Dom Portwood &gt; Nathan C. Carter</v>
      </c>
      <c r="D14">
        <f>COUNTIFS(OfficeSpace__1[Manager Name],OfficeSpace__1[[#This Row],[Employee Name]])</f>
        <v>3</v>
      </c>
      <c r="E14">
        <f>COUNTIFS(OfficeSpace__1[Reporting Heirarchi (Manager drilldown)],"*"&amp;OfficeSpace__1[[#This Row],[Employee Name]]&amp;"*")-1</f>
        <v>3</v>
      </c>
    </row>
    <row r="15" spans="1:5" x14ac:dyDescent="0.3">
      <c r="A15" t="s">
        <v>16</v>
      </c>
      <c r="B15" t="s">
        <v>15</v>
      </c>
      <c r="C15" t="str" cm="1">
        <f t="array" ref="C15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Dom Portwood &gt; Nathan C. Carter &gt; Nathan C. Carter &gt; Lydia Bennett</v>
      </c>
      <c r="D15">
        <f>COUNTIFS(OfficeSpace__1[Manager Name],OfficeSpace__1[[#This Row],[Employee Name]])</f>
        <v>0</v>
      </c>
      <c r="E15">
        <f>COUNTIFS(OfficeSpace__1[Reporting Heirarchi (Manager drilldown)],"*"&amp;OfficeSpace__1[[#This Row],[Employee Name]]&amp;"*")-1</f>
        <v>0</v>
      </c>
    </row>
    <row r="16" spans="1:5" x14ac:dyDescent="0.3">
      <c r="A16" t="s">
        <v>17</v>
      </c>
      <c r="B16" t="s">
        <v>15</v>
      </c>
      <c r="C16" t="str" cm="1">
        <f t="array" ref="C16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Dom Portwood &gt; Nathan C. Carter &gt; Nathan C. Carter &gt; Greg S. Torres</v>
      </c>
      <c r="D16">
        <f>COUNTIFS(OfficeSpace__1[Manager Name],OfficeSpace__1[[#This Row],[Employee Name]])</f>
        <v>0</v>
      </c>
      <c r="E16">
        <f>COUNTIFS(OfficeSpace__1[Reporting Heirarchi (Manager drilldown)],"*"&amp;OfficeSpace__1[[#This Row],[Employee Name]]&amp;"*")-1</f>
        <v>0</v>
      </c>
    </row>
    <row r="17" spans="1:5" x14ac:dyDescent="0.3">
      <c r="A17" t="s">
        <v>18</v>
      </c>
      <c r="B17" t="s">
        <v>15</v>
      </c>
      <c r="C17" t="str" cm="1">
        <f t="array" ref="C17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Dom Portwood &gt; Nathan C. Carter &gt; Nathan C. Carter &gt; Alice L. Munroe</v>
      </c>
      <c r="D17">
        <f>COUNTIFS(OfficeSpace__1[Manager Name],OfficeSpace__1[[#This Row],[Employee Name]])</f>
        <v>0</v>
      </c>
      <c r="E17">
        <f>COUNTIFS(OfficeSpace__1[Reporting Heirarchi (Manager drilldown)],"*"&amp;OfficeSpace__1[[#This Row],[Employee Name]]&amp;"*")-1</f>
        <v>0</v>
      </c>
    </row>
    <row r="18" spans="1:5" x14ac:dyDescent="0.3">
      <c r="A18" t="s">
        <v>19</v>
      </c>
      <c r="B18" t="s">
        <v>8</v>
      </c>
      <c r="C18" t="str" cm="1">
        <f t="array" ref="C18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Wendy L. Hargrove &gt; Wendy L. Hargrove &gt; Peggy Carlson</v>
      </c>
      <c r="D18">
        <f>COUNTIFS(OfficeSpace__1[Manager Name],OfficeSpace__1[[#This Row],[Employee Name]])</f>
        <v>0</v>
      </c>
      <c r="E18">
        <f>COUNTIFS(OfficeSpace__1[Reporting Heirarchi (Manager drilldown)],"*"&amp;OfficeSpace__1[[#This Row],[Employee Name]]&amp;"*")-1</f>
        <v>0</v>
      </c>
    </row>
    <row r="19" spans="1:5" x14ac:dyDescent="0.3">
      <c r="A19" t="s">
        <v>20</v>
      </c>
      <c r="B19" t="s">
        <v>8</v>
      </c>
      <c r="C19" t="str" cm="1">
        <f t="array" ref="C19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Wendy L. Hargrove &gt; Wendy L. Hargrove &gt; Anne Martinez</v>
      </c>
      <c r="D19">
        <f>COUNTIFS(OfficeSpace__1[Manager Name],OfficeSpace__1[[#This Row],[Employee Name]])</f>
        <v>0</v>
      </c>
      <c r="E19">
        <f>COUNTIFS(OfficeSpace__1[Reporting Heirarchi (Manager drilldown)],"*"&amp;OfficeSpace__1[[#This Row],[Employee Name]]&amp;"*")-1</f>
        <v>0</v>
      </c>
    </row>
    <row r="20" spans="1:5" x14ac:dyDescent="0.3">
      <c r="A20" t="s">
        <v>21</v>
      </c>
      <c r="B20" t="s">
        <v>8</v>
      </c>
      <c r="C20" t="str" cm="1">
        <f t="array" ref="C20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Wendy L. Hargrove &gt; Wendy L. Hargrove &gt; Fred Wilkinson</v>
      </c>
      <c r="D20">
        <f>COUNTIFS(OfficeSpace__1[Manager Name],OfficeSpace__1[[#This Row],[Employee Name]])</f>
        <v>0</v>
      </c>
      <c r="E20">
        <f>COUNTIFS(OfficeSpace__1[Reporting Heirarchi (Manager drilldown)],"*"&amp;OfficeSpace__1[[#This Row],[Employee Name]]&amp;"*")-1</f>
        <v>0</v>
      </c>
    </row>
    <row r="21" spans="1:5" x14ac:dyDescent="0.3">
      <c r="A21" t="s">
        <v>22</v>
      </c>
      <c r="B21" t="s">
        <v>9</v>
      </c>
      <c r="C21" t="str" cm="1">
        <f t="array" ref="C21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Tom Smykowski &gt; Tom Smykowski &gt; Derek P. Phillips</v>
      </c>
      <c r="D21">
        <f>COUNTIFS(OfficeSpace__1[Manager Name],OfficeSpace__1[[#This Row],[Employee Name]])</f>
        <v>1</v>
      </c>
      <c r="E21">
        <f>COUNTIFS(OfficeSpace__1[Reporting Heirarchi (Manager drilldown)],"*"&amp;OfficeSpace__1[[#This Row],[Employee Name]]&amp;"*")-1</f>
        <v>1</v>
      </c>
    </row>
    <row r="22" spans="1:5" x14ac:dyDescent="0.3">
      <c r="A22" t="s">
        <v>23</v>
      </c>
      <c r="B22" t="s">
        <v>22</v>
      </c>
      <c r="C22" t="str" cm="1">
        <f t="array" ref="C22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Tom Smykowski &gt; Derek P. Phillips &gt; Derek P. Phillips &gt; Sarah J. Greene</v>
      </c>
      <c r="D22">
        <f>COUNTIFS(OfficeSpace__1[Manager Name],OfficeSpace__1[[#This Row],[Employee Name]])</f>
        <v>0</v>
      </c>
      <c r="E22">
        <f>COUNTIFS(OfficeSpace__1[Reporting Heirarchi (Manager drilldown)],"*"&amp;OfficeSpace__1[[#This Row],[Employee Name]]&amp;"*")-1</f>
        <v>0</v>
      </c>
    </row>
    <row r="23" spans="1:5" x14ac:dyDescent="0.3">
      <c r="A23" t="s">
        <v>24</v>
      </c>
      <c r="B23" t="s">
        <v>10</v>
      </c>
      <c r="C23" t="str" cm="1">
        <f t="array" ref="C23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Nathan R. Ross &gt; Nathan R. Ross &gt; Alan B. Peterson</v>
      </c>
      <c r="D23">
        <f>COUNTIFS(OfficeSpace__1[Manager Name],OfficeSpace__1[[#This Row],[Employee Name]])</f>
        <v>2</v>
      </c>
      <c r="E23">
        <f>COUNTIFS(OfficeSpace__1[Reporting Heirarchi (Manager drilldown)],"*"&amp;OfficeSpace__1[[#This Row],[Employee Name]]&amp;"*")-1</f>
        <v>2</v>
      </c>
    </row>
    <row r="24" spans="1:5" x14ac:dyDescent="0.3">
      <c r="A24" t="s">
        <v>25</v>
      </c>
      <c r="B24" t="s">
        <v>24</v>
      </c>
      <c r="C24" t="str" cm="1">
        <f t="array" ref="C24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Nathan R. Ross &gt; Alan B. Peterson &gt; Alan B. Peterson &gt; Maria D. Sanchez</v>
      </c>
      <c r="D24">
        <f>COUNTIFS(OfficeSpace__1[Manager Name],OfficeSpace__1[[#This Row],[Employee Name]])</f>
        <v>0</v>
      </c>
      <c r="E24">
        <f>COUNTIFS(OfficeSpace__1[Reporting Heirarchi (Manager drilldown)],"*"&amp;OfficeSpace__1[[#This Row],[Employee Name]]&amp;"*")-1</f>
        <v>0</v>
      </c>
    </row>
    <row r="25" spans="1:5" x14ac:dyDescent="0.3">
      <c r="A25" t="s">
        <v>26</v>
      </c>
      <c r="B25" t="s">
        <v>24</v>
      </c>
      <c r="C25" t="str" cm="1">
        <f t="array" ref="C25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Nathan R. Ross &gt; Alan B. Peterson &gt; Alan B. Peterson &gt; Bobbie K. Jenkins</v>
      </c>
      <c r="D25">
        <f>COUNTIFS(OfficeSpace__1[Manager Name],OfficeSpace__1[[#This Row],[Employee Name]])</f>
        <v>0</v>
      </c>
      <c r="E25">
        <f>COUNTIFS(OfficeSpace__1[Reporting Heirarchi (Manager drilldown)],"*"&amp;OfficeSpace__1[[#This Row],[Employee Name]]&amp;"*")-1</f>
        <v>0</v>
      </c>
    </row>
    <row r="26" spans="1:5" x14ac:dyDescent="0.3">
      <c r="A26" t="s">
        <v>27</v>
      </c>
      <c r="B26" t="s">
        <v>9</v>
      </c>
      <c r="C26" t="str" cm="1">
        <f t="array" ref="C26">_xlfn.LET(
  _xlpm.heir, _xlfn.SCAN(OfficeSpace__1[[#This Row],[Employee Name]], _xlfn.SEQUENCE(10), _xlfn.LAMBDA(_xlpm.acu,_xlpm.val, _xlfn.XLOOKUP(_xlpm.acu, OfficeSpace__1[Employee Name], OfficeSpace__1[Manager Name], 0, 0))),
  _xlpm.fil, _xlfn._xlws.FILTER(_xlpm.heir, _xlpm.heir&lt;&gt;0, ""),
  _xlpm.ord, _xlfn.SORTBY(_xlpm.fil, _xlfn.SEQUENCE(ROWS(_xlpm.fil)), -1),
  _xlfn.TEXTJOIN(" &gt; ", TRUE, _xlpm.ord,OfficeSpace__1[[#This Row],[Manager Name]],OfficeSpace__1[[#This Row],[Employee Name]])
)</f>
        <v>Bill Lumbergh &gt; Linda M. Grayson &gt; Tom Smykowski &gt; Tom Smykowski &gt; Milton Waddams</v>
      </c>
      <c r="D26">
        <f>COUNTIFS(OfficeSpace__1[Manager Name],OfficeSpace__1[[#This Row],[Employee Name]])</f>
        <v>0</v>
      </c>
      <c r="E26">
        <f>COUNTIFS(OfficeSpace__1[Reporting Heirarchi (Manager drilldown)],"*"&amp;OfficeSpace__1[[#This Row],[Employee Name]]&amp;"*")-1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40DCA6-F6DE-4374-B577-E6761D09B5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OfficeSpace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Trujillo</dc:creator>
  <cp:lastModifiedBy>Valeria Trujillo</cp:lastModifiedBy>
  <dcterms:created xsi:type="dcterms:W3CDTF">2015-06-05T18:17:20Z</dcterms:created>
  <dcterms:modified xsi:type="dcterms:W3CDTF">2026-01-23T18:58:08Z</dcterms:modified>
</cp:coreProperties>
</file>