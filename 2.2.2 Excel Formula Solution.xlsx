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Examples\2. Flatten the Stack\"/>
    </mc:Choice>
  </mc:AlternateContent>
  <xr:revisionPtr revIDLastSave="0" documentId="13_ncr:1_{D3D5A8F8-2F70-4F2F-A6C4-5E00751D0CA9}" xr6:coauthVersionLast="47" xr6:coauthVersionMax="47" xr10:uidLastSave="{00000000-0000-0000-0000-000000000000}"/>
  <bookViews>
    <workbookView xWindow="-108" yWindow="-108" windowWidth="23256" windowHeight="12456" xr2:uid="{05529754-5D47-4C5F-B0FD-F6FC1760FC37}"/>
  </bookViews>
  <sheets>
    <sheet name="sales_orders" sheetId="2" r:id="rId1"/>
    <sheet name="flattened" sheetId="1" r:id="rId2"/>
  </sheets>
  <definedNames>
    <definedName name="DatosExternos_1" localSheetId="0" hidden="1">sales_orders!$A$1:$D$101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11" i="2" s="1" a="1"/>
  <c r="F11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F83" i="2" l="1" a="1"/>
  <c r="F83" i="2" s="1"/>
  <c r="F84" i="2" a="1"/>
  <c r="F84" i="2" s="1"/>
  <c r="F73" i="2" a="1"/>
  <c r="F73" i="2" s="1"/>
  <c r="F63" i="2" a="1"/>
  <c r="F63" i="2" s="1"/>
  <c r="F62" i="2" a="1"/>
  <c r="F62" i="2" s="1"/>
  <c r="F53" i="2" a="1"/>
  <c r="F53" i="2" s="1"/>
  <c r="F52" i="2" a="1"/>
  <c r="F52" i="2" s="1"/>
  <c r="F93" i="2" a="1"/>
  <c r="F93" i="2" s="1"/>
  <c r="F43" i="2" a="1"/>
  <c r="F43" i="2" s="1"/>
  <c r="F39" i="2" a="1"/>
  <c r="F39" i="2" s="1"/>
  <c r="F94" i="2" a="1"/>
  <c r="F94" i="2" s="1"/>
  <c r="F7" i="2" a="1"/>
  <c r="F7" i="2" s="1"/>
  <c r="F17" i="2" a="1"/>
  <c r="F17" i="2" s="1"/>
  <c r="F18" i="2" a="1"/>
  <c r="F18" i="2" s="1"/>
  <c r="F28" i="2" a="1"/>
  <c r="F28" i="2" s="1"/>
  <c r="F8" i="2" a="1"/>
  <c r="F8" i="2" s="1"/>
  <c r="F19" i="2" a="1"/>
  <c r="F19" i="2" s="1"/>
  <c r="F9" i="2" a="1"/>
  <c r="F9" i="2" s="1"/>
  <c r="F30" i="2" a="1"/>
  <c r="F30" i="2" s="1"/>
  <c r="F10" i="2" a="1"/>
  <c r="F10" i="2" s="1"/>
  <c r="F20" i="2" a="1"/>
  <c r="F20" i="2" s="1"/>
  <c r="F31" i="2" a="1"/>
  <c r="F31" i="2" s="1"/>
  <c r="F3" i="2" a="1"/>
  <c r="F3" i="2" s="1"/>
  <c r="F24" i="2" a="1"/>
  <c r="F24" i="2" s="1"/>
  <c r="F34" i="2" a="1"/>
  <c r="F34" i="2" s="1"/>
  <c r="F4" i="2" a="1"/>
  <c r="F4" i="2" s="1"/>
  <c r="F14" i="2" a="1"/>
  <c r="F14" i="2" s="1"/>
  <c r="F25" i="2" a="1"/>
  <c r="F25" i="2" s="1"/>
  <c r="F92" i="2" a="1"/>
  <c r="F92" i="2" s="1"/>
  <c r="F82" i="2" a="1"/>
  <c r="F82" i="2" s="1"/>
  <c r="F72" i="2" a="1"/>
  <c r="F72" i="2" s="1"/>
  <c r="F51" i="2" a="1"/>
  <c r="F51" i="2" s="1"/>
  <c r="F41" i="2" a="1"/>
  <c r="F41" i="2" s="1"/>
  <c r="F27" i="2" a="1"/>
  <c r="F27" i="2" s="1"/>
  <c r="F5" i="2" a="1"/>
  <c r="F5" i="2" s="1"/>
  <c r="F42" i="2" a="1"/>
  <c r="F42" i="2" s="1"/>
  <c r="F29" i="2" a="1"/>
  <c r="F29" i="2" s="1"/>
  <c r="F6" i="2" a="1"/>
  <c r="F6" i="2" s="1"/>
  <c r="F81" i="2" a="1"/>
  <c r="F81" i="2" s="1"/>
  <c r="F71" i="2" a="1"/>
  <c r="F71" i="2" s="1"/>
  <c r="F61" i="2" a="1"/>
  <c r="F61" i="2" s="1"/>
  <c r="F50" i="2" a="1"/>
  <c r="F50" i="2" s="1"/>
  <c r="F40" i="2" a="1"/>
  <c r="F40" i="2" s="1"/>
  <c r="F26" i="2" a="1"/>
  <c r="F26" i="2" s="1"/>
  <c r="F2" i="2" a="1"/>
  <c r="F2" i="2" s="1"/>
  <c r="F70" i="2" a="1"/>
  <c r="F70" i="2" s="1"/>
  <c r="F100" i="2" a="1"/>
  <c r="F100" i="2" s="1"/>
  <c r="F69" i="2" a="1"/>
  <c r="F69" i="2" s="1"/>
  <c r="F99" i="2" a="1"/>
  <c r="F99" i="2" s="1"/>
  <c r="F89" i="2" a="1"/>
  <c r="F89" i="2" s="1"/>
  <c r="F79" i="2" a="1"/>
  <c r="F79" i="2" s="1"/>
  <c r="F68" i="2" a="1"/>
  <c r="F68" i="2" s="1"/>
  <c r="F58" i="2" a="1"/>
  <c r="F58" i="2" s="1"/>
  <c r="F48" i="2" a="1"/>
  <c r="F48" i="2" s="1"/>
  <c r="F22" i="2" a="1"/>
  <c r="F22" i="2" s="1"/>
  <c r="F80" i="2" a="1"/>
  <c r="F80" i="2" s="1"/>
  <c r="F90" i="2" a="1"/>
  <c r="F90" i="2" s="1"/>
  <c r="F23" i="2" a="1"/>
  <c r="F23" i="2" s="1"/>
  <c r="F98" i="2" a="1"/>
  <c r="F98" i="2" s="1"/>
  <c r="F88" i="2" a="1"/>
  <c r="F88" i="2" s="1"/>
  <c r="F78" i="2" a="1"/>
  <c r="F78" i="2" s="1"/>
  <c r="F57" i="2" a="1"/>
  <c r="F57" i="2" s="1"/>
  <c r="F47" i="2" a="1"/>
  <c r="F47" i="2" s="1"/>
  <c r="F37" i="2" a="1"/>
  <c r="F37" i="2" s="1"/>
  <c r="F21" i="2" a="1"/>
  <c r="F21" i="2" s="1"/>
  <c r="F60" i="2" a="1"/>
  <c r="F60" i="2" s="1"/>
  <c r="F59" i="2" a="1"/>
  <c r="F59" i="2" s="1"/>
  <c r="F67" i="2" a="1"/>
  <c r="F67" i="2" s="1"/>
  <c r="F46" i="2" a="1"/>
  <c r="F46" i="2" s="1"/>
  <c r="F36" i="2" a="1"/>
  <c r="F36" i="2" s="1"/>
  <c r="F16" i="2" a="1"/>
  <c r="F16" i="2" s="1"/>
  <c r="F101" i="2" a="1"/>
  <c r="F101" i="2" s="1"/>
  <c r="F91" i="2" a="1"/>
  <c r="F91" i="2" s="1"/>
  <c r="F49" i="2" a="1"/>
  <c r="F49" i="2" s="1"/>
  <c r="F77" i="2" a="1"/>
  <c r="F77" i="2" s="1"/>
  <c r="F86" i="2" a="1"/>
  <c r="F86" i="2" s="1"/>
  <c r="F76" i="2" a="1"/>
  <c r="F76" i="2" s="1"/>
  <c r="F66" i="2" a="1"/>
  <c r="F66" i="2" s="1"/>
  <c r="F45" i="2" a="1"/>
  <c r="F45" i="2" s="1"/>
  <c r="F35" i="2" a="1"/>
  <c r="F35" i="2" s="1"/>
  <c r="F15" i="2" a="1"/>
  <c r="F15" i="2" s="1"/>
  <c r="F87" i="2" a="1"/>
  <c r="F87" i="2" s="1"/>
  <c r="F97" i="2" a="1"/>
  <c r="F97" i="2" s="1"/>
  <c r="F96" i="2" a="1"/>
  <c r="F96" i="2" s="1"/>
  <c r="F75" i="2" a="1"/>
  <c r="F75" i="2" s="1"/>
  <c r="F65" i="2" a="1"/>
  <c r="F65" i="2" s="1"/>
  <c r="F55" i="2" a="1"/>
  <c r="F55" i="2" s="1"/>
  <c r="F44" i="2" a="1"/>
  <c r="F44" i="2" s="1"/>
  <c r="F33" i="2" a="1"/>
  <c r="F33" i="2" s="1"/>
  <c r="F13" i="2" a="1"/>
  <c r="F13" i="2" s="1"/>
  <c r="F38" i="2" a="1"/>
  <c r="F38" i="2" s="1"/>
  <c r="F56" i="2" a="1"/>
  <c r="F56" i="2" s="1"/>
  <c r="F95" i="2" a="1"/>
  <c r="F95" i="2" s="1"/>
  <c r="F85" i="2" a="1"/>
  <c r="F85" i="2" s="1"/>
  <c r="F74" i="2" a="1"/>
  <c r="F74" i="2" s="1"/>
  <c r="F64" i="2" a="1"/>
  <c r="F64" i="2" s="1"/>
  <c r="F54" i="2" a="1"/>
  <c r="F54" i="2" s="1"/>
  <c r="F32" i="2" a="1"/>
  <c r="F32" i="2" s="1"/>
  <c r="F12" i="2" a="1"/>
  <c r="F12" i="2" s="1"/>
  <c r="B9" i="1" l="1"/>
  <c r="B21" i="1"/>
  <c r="B33" i="1"/>
  <c r="B45" i="1"/>
  <c r="C45" i="1" s="1" a="1"/>
  <c r="C45" i="1" s="1"/>
  <c r="B57" i="1"/>
  <c r="C57" i="1" s="1" a="1"/>
  <c r="C57" i="1" s="1"/>
  <c r="B69" i="1"/>
  <c r="C69" i="1" s="1" a="1"/>
  <c r="C69" i="1" s="1"/>
  <c r="B81" i="1"/>
  <c r="C81" i="1" s="1" a="1"/>
  <c r="C81" i="1" s="1"/>
  <c r="B93" i="1"/>
  <c r="C93" i="1" s="1" a="1"/>
  <c r="C93" i="1" s="1"/>
  <c r="B105" i="1"/>
  <c r="C105" i="1" s="1" a="1"/>
  <c r="C105" i="1" s="1"/>
  <c r="B117" i="1"/>
  <c r="C117" i="1" s="1" a="1"/>
  <c r="C117" i="1" s="1"/>
  <c r="B129" i="1"/>
  <c r="B141" i="1"/>
  <c r="C141" i="1" s="1" a="1"/>
  <c r="C141" i="1" s="1"/>
  <c r="B153" i="1"/>
  <c r="B165" i="1"/>
  <c r="B177" i="1"/>
  <c r="B189" i="1"/>
  <c r="B201" i="1"/>
  <c r="B213" i="1"/>
  <c r="C213" i="1" s="1" a="1"/>
  <c r="C213" i="1" s="1"/>
  <c r="B225" i="1"/>
  <c r="B10" i="1"/>
  <c r="C10" i="1" s="1" a="1"/>
  <c r="C10" i="1" s="1"/>
  <c r="B22" i="1"/>
  <c r="C22" i="1" s="1" a="1"/>
  <c r="C22" i="1" s="1"/>
  <c r="B34" i="1"/>
  <c r="C34" i="1" s="1" a="1"/>
  <c r="C34" i="1" s="1"/>
  <c r="B46" i="1"/>
  <c r="B58" i="1"/>
  <c r="B70" i="1"/>
  <c r="B82" i="1"/>
  <c r="C82" i="1" s="1" a="1"/>
  <c r="C82" i="1" s="1"/>
  <c r="B94" i="1"/>
  <c r="C94" i="1" s="1" a="1"/>
  <c r="C94" i="1" s="1"/>
  <c r="B106" i="1"/>
  <c r="B118" i="1"/>
  <c r="B130" i="1"/>
  <c r="C130" i="1" s="1" a="1"/>
  <c r="C130" i="1" s="1"/>
  <c r="B142" i="1"/>
  <c r="C142" i="1" s="1" a="1"/>
  <c r="C142" i="1" s="1"/>
  <c r="B154" i="1"/>
  <c r="C154" i="1" s="1" a="1"/>
  <c r="C154" i="1" s="1"/>
  <c r="B166" i="1"/>
  <c r="B178" i="1"/>
  <c r="C178" i="1" s="1" a="1"/>
  <c r="C178" i="1" s="1"/>
  <c r="B190" i="1"/>
  <c r="B202" i="1"/>
  <c r="B214" i="1"/>
  <c r="B226" i="1"/>
  <c r="C226" i="1" s="1" a="1"/>
  <c r="C226" i="1" s="1"/>
  <c r="B11" i="1"/>
  <c r="B23" i="1"/>
  <c r="C23" i="1" s="1" a="1"/>
  <c r="C23" i="1" s="1"/>
  <c r="B35" i="1"/>
  <c r="B47" i="1"/>
  <c r="C47" i="1" s="1" a="1"/>
  <c r="C47" i="1" s="1"/>
  <c r="B59" i="1"/>
  <c r="C59" i="1" s="1" a="1"/>
  <c r="C59" i="1" s="1"/>
  <c r="B71" i="1"/>
  <c r="B83" i="1"/>
  <c r="B95" i="1"/>
  <c r="B107" i="1"/>
  <c r="B119" i="1"/>
  <c r="B131" i="1"/>
  <c r="C131" i="1" s="1" a="1"/>
  <c r="C131" i="1" s="1"/>
  <c r="B143" i="1"/>
  <c r="B155" i="1"/>
  <c r="B167" i="1"/>
  <c r="C167" i="1" s="1" a="1"/>
  <c r="C167" i="1" s="1"/>
  <c r="B179" i="1"/>
  <c r="B191" i="1"/>
  <c r="B203" i="1"/>
  <c r="B215" i="1"/>
  <c r="B227" i="1"/>
  <c r="B12" i="1"/>
  <c r="C12" i="1" s="1" a="1"/>
  <c r="C12" i="1" s="1"/>
  <c r="B24" i="1"/>
  <c r="B36" i="1"/>
  <c r="B48" i="1"/>
  <c r="C48" i="1" s="1" a="1"/>
  <c r="C48" i="1" s="1"/>
  <c r="B60" i="1"/>
  <c r="C60" i="1" s="1" a="1"/>
  <c r="C60" i="1" s="1"/>
  <c r="B72" i="1"/>
  <c r="B84" i="1"/>
  <c r="B96" i="1"/>
  <c r="C96" i="1" s="1" a="1"/>
  <c r="C96" i="1" s="1"/>
  <c r="B108" i="1"/>
  <c r="C108" i="1" s="1" a="1"/>
  <c r="C108" i="1" s="1"/>
  <c r="B120" i="1"/>
  <c r="C120" i="1" s="1" a="1"/>
  <c r="C120" i="1" s="1"/>
  <c r="B132" i="1"/>
  <c r="C132" i="1" s="1" a="1"/>
  <c r="C132" i="1" s="1"/>
  <c r="B144" i="1"/>
  <c r="B156" i="1"/>
  <c r="C156" i="1" s="1" a="1"/>
  <c r="C156" i="1" s="1"/>
  <c r="B168" i="1"/>
  <c r="B180" i="1"/>
  <c r="B192" i="1"/>
  <c r="C192" i="1" s="1" a="1"/>
  <c r="C192" i="1" s="1"/>
  <c r="B204" i="1"/>
  <c r="C204" i="1" s="1" a="1"/>
  <c r="C204" i="1" s="1"/>
  <c r="B216" i="1"/>
  <c r="B228" i="1"/>
  <c r="C70" i="1" a="1"/>
  <c r="C70" i="1" s="1"/>
  <c r="C106" i="1" a="1"/>
  <c r="C106" i="1" s="1"/>
  <c r="B13" i="1"/>
  <c r="C13" i="1" s="1" a="1"/>
  <c r="C13" i="1" s="1"/>
  <c r="B25" i="1"/>
  <c r="B37" i="1"/>
  <c r="B49" i="1"/>
  <c r="C49" i="1" s="1" a="1"/>
  <c r="C49" i="1" s="1"/>
  <c r="B61" i="1"/>
  <c r="C61" i="1" s="1" a="1"/>
  <c r="C61" i="1" s="1"/>
  <c r="B73" i="1"/>
  <c r="B85" i="1"/>
  <c r="B97" i="1"/>
  <c r="C97" i="1" s="1" a="1"/>
  <c r="C97" i="1" s="1"/>
  <c r="B109" i="1"/>
  <c r="C109" i="1" s="1" a="1"/>
  <c r="C109" i="1" s="1"/>
  <c r="B121" i="1"/>
  <c r="C121" i="1" s="1" a="1"/>
  <c r="C121" i="1" s="1"/>
  <c r="B133" i="1"/>
  <c r="C133" i="1" s="1" a="1"/>
  <c r="C133" i="1" s="1"/>
  <c r="B145" i="1"/>
  <c r="C145" i="1" s="1" a="1"/>
  <c r="C145" i="1" s="1"/>
  <c r="B157" i="1"/>
  <c r="C157" i="1" s="1" a="1"/>
  <c r="C157" i="1" s="1"/>
  <c r="B169" i="1"/>
  <c r="C169" i="1" s="1" a="1"/>
  <c r="C169" i="1" s="1"/>
  <c r="B181" i="1"/>
  <c r="B193" i="1"/>
  <c r="B205" i="1"/>
  <c r="B217" i="1"/>
  <c r="B229" i="1"/>
  <c r="C9" i="1" a="1"/>
  <c r="C9" i="1" s="1"/>
  <c r="C37" i="1" a="1"/>
  <c r="C37" i="1" s="1"/>
  <c r="C46" i="1" a="1"/>
  <c r="C46" i="1" s="1"/>
  <c r="C118" i="1" a="1"/>
  <c r="C118" i="1" s="1"/>
  <c r="C190" i="1" a="1"/>
  <c r="C190" i="1" s="1"/>
  <c r="B5" i="1"/>
  <c r="B17" i="1"/>
  <c r="B29" i="1"/>
  <c r="C29" i="1" s="1" a="1"/>
  <c r="C29" i="1" s="1"/>
  <c r="B41" i="1"/>
  <c r="C41" i="1" s="1" a="1"/>
  <c r="C41" i="1" s="1"/>
  <c r="B53" i="1"/>
  <c r="C53" i="1" s="1" a="1"/>
  <c r="C53" i="1" s="1"/>
  <c r="B65" i="1"/>
  <c r="C65" i="1" s="1" a="1"/>
  <c r="C65" i="1" s="1"/>
  <c r="B77" i="1"/>
  <c r="C77" i="1" s="1" a="1"/>
  <c r="C77" i="1" s="1"/>
  <c r="B89" i="1"/>
  <c r="B101" i="1"/>
  <c r="C101" i="1" s="1" a="1"/>
  <c r="C101" i="1" s="1"/>
  <c r="B113" i="1"/>
  <c r="C113" i="1" s="1" a="1"/>
  <c r="C113" i="1" s="1"/>
  <c r="B125" i="1"/>
  <c r="B137" i="1"/>
  <c r="C137" i="1" s="1" a="1"/>
  <c r="C137" i="1" s="1"/>
  <c r="B149" i="1"/>
  <c r="C149" i="1" s="1" a="1"/>
  <c r="C149" i="1" s="1"/>
  <c r="B161" i="1"/>
  <c r="B173" i="1"/>
  <c r="B185" i="1"/>
  <c r="C185" i="1" s="1" a="1"/>
  <c r="C185" i="1" s="1"/>
  <c r="B197" i="1"/>
  <c r="C197" i="1" s="1" a="1"/>
  <c r="C197" i="1" s="1"/>
  <c r="B209" i="1"/>
  <c r="C209" i="1" s="1" a="1"/>
  <c r="C209" i="1" s="1"/>
  <c r="B221" i="1"/>
  <c r="C11" i="1" a="1"/>
  <c r="C11" i="1" s="1"/>
  <c r="C155" i="1" a="1"/>
  <c r="C155" i="1" s="1"/>
  <c r="C191" i="1" a="1"/>
  <c r="C191" i="1" s="1"/>
  <c r="B6" i="1"/>
  <c r="B18" i="1"/>
  <c r="B30" i="1"/>
  <c r="B42" i="1"/>
  <c r="B54" i="1"/>
  <c r="C54" i="1" s="1" a="1"/>
  <c r="C54" i="1" s="1"/>
  <c r="B66" i="1"/>
  <c r="B78" i="1"/>
  <c r="C78" i="1" s="1" a="1"/>
  <c r="C78" i="1" s="1"/>
  <c r="B90" i="1"/>
  <c r="B102" i="1"/>
  <c r="C102" i="1" s="1" a="1"/>
  <c r="C102" i="1" s="1"/>
  <c r="B114" i="1"/>
  <c r="C114" i="1" s="1" a="1"/>
  <c r="C114" i="1" s="1"/>
  <c r="B126" i="1"/>
  <c r="C126" i="1" s="1" a="1"/>
  <c r="C126" i="1" s="1"/>
  <c r="B138" i="1"/>
  <c r="B150" i="1"/>
  <c r="C150" i="1" s="1" a="1"/>
  <c r="C150" i="1" s="1"/>
  <c r="B162" i="1"/>
  <c r="C162" i="1" s="1" a="1"/>
  <c r="C162" i="1" s="1"/>
  <c r="B174" i="1"/>
  <c r="B186" i="1"/>
  <c r="C186" i="1" s="1" a="1"/>
  <c r="C186" i="1" s="1"/>
  <c r="B198" i="1"/>
  <c r="B210" i="1"/>
  <c r="C210" i="1" s="1" a="1"/>
  <c r="C210" i="1" s="1"/>
  <c r="B222" i="1"/>
  <c r="C35" i="1" a="1"/>
  <c r="C35" i="1" s="1"/>
  <c r="C153" i="1" a="1"/>
  <c r="C153" i="1" s="1"/>
  <c r="B14" i="1"/>
  <c r="B40" i="1"/>
  <c r="C40" i="1" s="1" a="1"/>
  <c r="C40" i="1" s="1"/>
  <c r="B68" i="1"/>
  <c r="C68" i="1" s="1" a="1"/>
  <c r="C68" i="1" s="1"/>
  <c r="B99" i="1"/>
  <c r="B127" i="1"/>
  <c r="C127" i="1" s="1" a="1"/>
  <c r="C127" i="1" s="1"/>
  <c r="B158" i="1"/>
  <c r="C158" i="1" s="1" a="1"/>
  <c r="C158" i="1" s="1"/>
  <c r="B184" i="1"/>
  <c r="C184" i="1" s="1" a="1"/>
  <c r="C184" i="1" s="1"/>
  <c r="B212" i="1"/>
  <c r="C212" i="1" s="1" a="1"/>
  <c r="C212" i="1" s="1"/>
  <c r="B146" i="1"/>
  <c r="C146" i="1" s="1" a="1"/>
  <c r="C146" i="1" s="1"/>
  <c r="C72" i="1" a="1"/>
  <c r="C72" i="1" s="1"/>
  <c r="C107" i="1" a="1"/>
  <c r="C107" i="1" s="1"/>
  <c r="C179" i="1" a="1"/>
  <c r="C179" i="1" s="1"/>
  <c r="C219" i="1" a="1"/>
  <c r="C219" i="1" s="1"/>
  <c r="B15" i="1"/>
  <c r="B43" i="1"/>
  <c r="C43" i="1" s="1" a="1"/>
  <c r="C43" i="1" s="1"/>
  <c r="B74" i="1"/>
  <c r="B100" i="1"/>
  <c r="C100" i="1" s="1" a="1"/>
  <c r="C100" i="1" s="1"/>
  <c r="B128" i="1"/>
  <c r="C128" i="1" s="1" a="1"/>
  <c r="C128" i="1" s="1"/>
  <c r="B159" i="1"/>
  <c r="B187" i="1"/>
  <c r="B218" i="1"/>
  <c r="C218" i="1" s="1" a="1"/>
  <c r="C218" i="1" s="1"/>
  <c r="B115" i="1"/>
  <c r="C115" i="1" s="1" a="1"/>
  <c r="C115" i="1" s="1"/>
  <c r="B16" i="1"/>
  <c r="C16" i="1" s="1" a="1"/>
  <c r="C16" i="1" s="1"/>
  <c r="B44" i="1"/>
  <c r="C44" i="1" s="1" a="1"/>
  <c r="C44" i="1" s="1"/>
  <c r="B75" i="1"/>
  <c r="C75" i="1" s="1" a="1"/>
  <c r="C75" i="1" s="1"/>
  <c r="B103" i="1"/>
  <c r="C103" i="1" s="1" a="1"/>
  <c r="C103" i="1" s="1"/>
  <c r="B134" i="1"/>
  <c r="C134" i="1" s="1" a="1"/>
  <c r="C134" i="1" s="1"/>
  <c r="B160" i="1"/>
  <c r="C160" i="1" s="1" a="1"/>
  <c r="C160" i="1" s="1"/>
  <c r="B188" i="1"/>
  <c r="B219" i="1"/>
  <c r="B86" i="1"/>
  <c r="C165" i="1" a="1"/>
  <c r="C165" i="1" s="1"/>
  <c r="B28" i="1"/>
  <c r="C28" i="1" s="1" a="1"/>
  <c r="C28" i="1" s="1"/>
  <c r="B172" i="1"/>
  <c r="C172" i="1" s="1" a="1"/>
  <c r="C172" i="1" s="1"/>
  <c r="B98" i="1"/>
  <c r="C98" i="1" s="1" a="1"/>
  <c r="C98" i="1" s="1"/>
  <c r="C138" i="1" a="1"/>
  <c r="C138" i="1" s="1"/>
  <c r="C201" i="1" a="1"/>
  <c r="C201" i="1" s="1"/>
  <c r="B19" i="1"/>
  <c r="C19" i="1" s="1" a="1"/>
  <c r="C19" i="1" s="1"/>
  <c r="B50" i="1"/>
  <c r="B76" i="1"/>
  <c r="B104" i="1"/>
  <c r="B135" i="1"/>
  <c r="C135" i="1" s="1" a="1"/>
  <c r="C135" i="1" s="1"/>
  <c r="B163" i="1"/>
  <c r="B194" i="1"/>
  <c r="B220" i="1"/>
  <c r="C220" i="1" s="1" a="1"/>
  <c r="C220" i="1" s="1"/>
  <c r="B55" i="1"/>
  <c r="C90" i="1" a="1"/>
  <c r="C90" i="1" s="1"/>
  <c r="B87" i="1"/>
  <c r="B200" i="1"/>
  <c r="C174" i="1" a="1"/>
  <c r="C174" i="1" s="1"/>
  <c r="B8" i="1"/>
  <c r="C8" i="1" s="1" a="1"/>
  <c r="C8" i="1" s="1"/>
  <c r="B67" i="1"/>
  <c r="B211" i="1"/>
  <c r="C211" i="1" s="1" a="1"/>
  <c r="C211" i="1" s="1"/>
  <c r="C225" i="1" a="1"/>
  <c r="C225" i="1" s="1"/>
  <c r="B20" i="1"/>
  <c r="C20" i="1" s="1" a="1"/>
  <c r="C20" i="1" s="1"/>
  <c r="B51" i="1"/>
  <c r="C51" i="1" s="1" a="1"/>
  <c r="C51" i="1" s="1"/>
  <c r="B79" i="1"/>
  <c r="B110" i="1"/>
  <c r="B136" i="1"/>
  <c r="B164" i="1"/>
  <c r="C164" i="1" s="1" a="1"/>
  <c r="C164" i="1" s="1"/>
  <c r="B195" i="1"/>
  <c r="C195" i="1" s="1" a="1"/>
  <c r="C195" i="1" s="1"/>
  <c r="B223" i="1"/>
  <c r="C223" i="1" s="1" a="1"/>
  <c r="C223" i="1" s="1"/>
  <c r="C89" i="1" a="1"/>
  <c r="C89" i="1" s="1"/>
  <c r="C188" i="1" a="1"/>
  <c r="C188" i="1" s="1"/>
  <c r="B27" i="1"/>
  <c r="C27" i="1" s="1" a="1"/>
  <c r="C27" i="1" s="1"/>
  <c r="B140" i="1"/>
  <c r="B199" i="1"/>
  <c r="B56" i="1"/>
  <c r="C56" i="1" s="1" a="1"/>
  <c r="C56" i="1" s="1"/>
  <c r="B231" i="1"/>
  <c r="C231" i="1" s="1" a="1"/>
  <c r="C231" i="1" s="1"/>
  <c r="C84" i="1" a="1"/>
  <c r="C84" i="1" s="1"/>
  <c r="C143" i="1" a="1"/>
  <c r="C143" i="1" s="1"/>
  <c r="C228" i="1" a="1"/>
  <c r="C228" i="1" s="1"/>
  <c r="B26" i="1"/>
  <c r="C26" i="1" s="1" a="1"/>
  <c r="C26" i="1" s="1"/>
  <c r="B52" i="1"/>
  <c r="C52" i="1" s="1" a="1"/>
  <c r="C52" i="1" s="1"/>
  <c r="B80" i="1"/>
  <c r="B111" i="1"/>
  <c r="B139" i="1"/>
  <c r="C139" i="1" s="1" a="1"/>
  <c r="C139" i="1" s="1"/>
  <c r="B170" i="1"/>
  <c r="B196" i="1"/>
  <c r="C196" i="1" s="1" a="1"/>
  <c r="C196" i="1" s="1"/>
  <c r="B224" i="1"/>
  <c r="C224" i="1" s="1" a="1"/>
  <c r="C224" i="1" s="1"/>
  <c r="C144" i="1" a="1"/>
  <c r="C144" i="1" s="1"/>
  <c r="B112" i="1"/>
  <c r="C112" i="1" s="1" a="1"/>
  <c r="C112" i="1" s="1"/>
  <c r="B171" i="1"/>
  <c r="C171" i="1" s="1" a="1"/>
  <c r="C171" i="1" s="1"/>
  <c r="B230" i="1"/>
  <c r="C230" i="1" s="1" a="1"/>
  <c r="C230" i="1" s="1"/>
  <c r="B124" i="1"/>
  <c r="B3" i="1"/>
  <c r="C3" i="1" s="1" a="1"/>
  <c r="C3" i="1" s="1"/>
  <c r="B31" i="1"/>
  <c r="C31" i="1" s="1" a="1"/>
  <c r="C31" i="1" s="1"/>
  <c r="B62" i="1"/>
  <c r="C62" i="1" s="1" a="1"/>
  <c r="C62" i="1" s="1"/>
  <c r="B88" i="1"/>
  <c r="B116" i="1"/>
  <c r="B147" i="1"/>
  <c r="C147" i="1" s="1" a="1"/>
  <c r="C147" i="1" s="1"/>
  <c r="B175" i="1"/>
  <c r="B206" i="1"/>
  <c r="C206" i="1" s="1" a="1"/>
  <c r="C206" i="1" s="1"/>
  <c r="C216" i="1" a="1"/>
  <c r="C216" i="1" s="1"/>
  <c r="B7" i="1"/>
  <c r="C7" i="1" s="1" a="1"/>
  <c r="C7" i="1" s="1"/>
  <c r="B38" i="1"/>
  <c r="C38" i="1" s="1" a="1"/>
  <c r="C38" i="1" s="1"/>
  <c r="B64" i="1"/>
  <c r="C64" i="1" s="1" a="1"/>
  <c r="C64" i="1" s="1"/>
  <c r="B92" i="1"/>
  <c r="B123" i="1"/>
  <c r="B151" i="1"/>
  <c r="C151" i="1" s="1" a="1"/>
  <c r="C151" i="1" s="1"/>
  <c r="B182" i="1"/>
  <c r="B208" i="1"/>
  <c r="B152" i="1"/>
  <c r="C152" i="1" s="1" a="1"/>
  <c r="C152" i="1" s="1"/>
  <c r="C125" i="1" a="1"/>
  <c r="C125" i="1" s="1"/>
  <c r="B4" i="1"/>
  <c r="B32" i="1"/>
  <c r="C32" i="1" s="1" a="1"/>
  <c r="C32" i="1" s="1"/>
  <c r="B63" i="1"/>
  <c r="B91" i="1"/>
  <c r="C91" i="1" s="1" a="1"/>
  <c r="C91" i="1" s="1"/>
  <c r="B122" i="1"/>
  <c r="B148" i="1"/>
  <c r="C148" i="1" s="1" a="1"/>
  <c r="C148" i="1" s="1"/>
  <c r="B176" i="1"/>
  <c r="C176" i="1" s="1" a="1"/>
  <c r="C176" i="1" s="1"/>
  <c r="B207" i="1"/>
  <c r="C30" i="1" a="1"/>
  <c r="C30" i="1" s="1"/>
  <c r="B39" i="1"/>
  <c r="C39" i="1" s="1" a="1"/>
  <c r="C39" i="1" s="1"/>
  <c r="B183" i="1"/>
  <c r="C183" i="1" s="1" a="1"/>
  <c r="C183" i="1" s="1"/>
  <c r="G170" i="1" l="1" a="1"/>
  <c r="G170" i="1" s="1"/>
  <c r="E170" i="1" a="1"/>
  <c r="E170" i="1" s="1"/>
  <c r="F170" i="1" a="1"/>
  <c r="F170" i="1" s="1"/>
  <c r="D170" i="1" a="1"/>
  <c r="D170" i="1" s="1"/>
  <c r="G66" i="1" a="1"/>
  <c r="G66" i="1" s="1"/>
  <c r="D66" i="1" a="1"/>
  <c r="D66" i="1" s="1"/>
  <c r="F66" i="1" a="1"/>
  <c r="F66" i="1" s="1"/>
  <c r="E66" i="1" a="1"/>
  <c r="E66" i="1" s="1"/>
  <c r="G180" i="1" a="1"/>
  <c r="G180" i="1" s="1"/>
  <c r="F180" i="1" a="1"/>
  <c r="F180" i="1" s="1"/>
  <c r="E180" i="1" a="1"/>
  <c r="E180" i="1" s="1"/>
  <c r="D180" i="1" a="1"/>
  <c r="D180" i="1" s="1"/>
  <c r="G207" i="1" a="1"/>
  <c r="G207" i="1" s="1"/>
  <c r="F207" i="1" a="1"/>
  <c r="F207" i="1" s="1"/>
  <c r="E207" i="1" a="1"/>
  <c r="E207" i="1" s="1"/>
  <c r="D207" i="1" a="1"/>
  <c r="D207" i="1" s="1"/>
  <c r="G198" i="1" a="1"/>
  <c r="G198" i="1" s="1"/>
  <c r="F198" i="1" a="1"/>
  <c r="F198" i="1" s="1"/>
  <c r="E198" i="1" a="1"/>
  <c r="E198" i="1" s="1"/>
  <c r="D198" i="1" a="1"/>
  <c r="D198" i="1" s="1"/>
  <c r="E161" i="1" a="1"/>
  <c r="E161" i="1" s="1"/>
  <c r="G161" i="1" a="1"/>
  <c r="G161" i="1" s="1"/>
  <c r="D161" i="1" a="1"/>
  <c r="D161" i="1" s="1"/>
  <c r="F161" i="1" a="1"/>
  <c r="F161" i="1" s="1"/>
  <c r="G217" i="1" a="1"/>
  <c r="G217" i="1" s="1"/>
  <c r="F217" i="1" a="1"/>
  <c r="F217" i="1" s="1"/>
  <c r="D217" i="1" a="1"/>
  <c r="D217" i="1" s="1"/>
  <c r="E217" i="1" a="1"/>
  <c r="E217" i="1" s="1"/>
  <c r="G168" i="1" a="1"/>
  <c r="G168" i="1" s="1"/>
  <c r="E168" i="1" a="1"/>
  <c r="E168" i="1" s="1"/>
  <c r="F168" i="1" a="1"/>
  <c r="F168" i="1" s="1"/>
  <c r="D168" i="1" a="1"/>
  <c r="D168" i="1" s="1"/>
  <c r="G119" i="1" a="1"/>
  <c r="G119" i="1" s="1"/>
  <c r="F119" i="1" a="1"/>
  <c r="F119" i="1" s="1"/>
  <c r="E119" i="1" a="1"/>
  <c r="E119" i="1" s="1"/>
  <c r="D119" i="1" a="1"/>
  <c r="D119" i="1" s="1"/>
  <c r="G70" i="1" a="1"/>
  <c r="G70" i="1" s="1"/>
  <c r="E70" i="1" a="1"/>
  <c r="E70" i="1" s="1"/>
  <c r="F70" i="1" a="1"/>
  <c r="F70" i="1" s="1"/>
  <c r="D70" i="1" a="1"/>
  <c r="D70" i="1" s="1"/>
  <c r="G33" i="1" a="1"/>
  <c r="G33" i="1" s="1"/>
  <c r="F33" i="1" a="1"/>
  <c r="F33" i="1" s="1"/>
  <c r="D33" i="1" a="1"/>
  <c r="D33" i="1" s="1"/>
  <c r="E33" i="1" a="1"/>
  <c r="E33" i="1" s="1"/>
  <c r="F176" i="1" a="1"/>
  <c r="F176" i="1" s="1"/>
  <c r="G176" i="1" a="1"/>
  <c r="G176" i="1" s="1"/>
  <c r="E176" i="1" a="1"/>
  <c r="E176" i="1" s="1"/>
  <c r="D176" i="1" a="1"/>
  <c r="D176" i="1" s="1"/>
  <c r="C170" i="1" a="1"/>
  <c r="C170" i="1" s="1"/>
  <c r="G111" i="1" a="1"/>
  <c r="G111" i="1" s="1"/>
  <c r="F111" i="1" a="1"/>
  <c r="F111" i="1" s="1"/>
  <c r="D111" i="1" a="1"/>
  <c r="D111" i="1" s="1"/>
  <c r="E111" i="1" a="1"/>
  <c r="E111" i="1" s="1"/>
  <c r="G56" i="1" a="1"/>
  <c r="G56" i="1" s="1"/>
  <c r="F56" i="1" a="1"/>
  <c r="F56" i="1" s="1"/>
  <c r="D56" i="1" a="1"/>
  <c r="D56" i="1" s="1"/>
  <c r="E56" i="1" a="1"/>
  <c r="E56" i="1" s="1"/>
  <c r="G79" i="1" a="1"/>
  <c r="G79" i="1" s="1"/>
  <c r="D79" i="1" a="1"/>
  <c r="D79" i="1" s="1"/>
  <c r="E79" i="1" a="1"/>
  <c r="E79" i="1" s="1"/>
  <c r="F79" i="1" a="1"/>
  <c r="F79" i="1" s="1"/>
  <c r="C66" i="1" a="1"/>
  <c r="C66" i="1" s="1"/>
  <c r="G50" i="1" a="1"/>
  <c r="G50" i="1" s="1"/>
  <c r="D50" i="1" a="1"/>
  <c r="D50" i="1" s="1"/>
  <c r="E50" i="1" a="1"/>
  <c r="E50" i="1" s="1"/>
  <c r="F50" i="1" a="1"/>
  <c r="F50" i="1" s="1"/>
  <c r="C180" i="1" a="1"/>
  <c r="C180" i="1" s="1"/>
  <c r="G99" i="1" a="1"/>
  <c r="G99" i="1" s="1"/>
  <c r="D99" i="1" a="1"/>
  <c r="D99" i="1" s="1"/>
  <c r="F99" i="1" a="1"/>
  <c r="F99" i="1" s="1"/>
  <c r="E99" i="1" a="1"/>
  <c r="E99" i="1" s="1"/>
  <c r="E186" i="1" a="1"/>
  <c r="E186" i="1" s="1"/>
  <c r="G186" i="1" a="1"/>
  <c r="G186" i="1" s="1"/>
  <c r="F186" i="1" a="1"/>
  <c r="F186" i="1" s="1"/>
  <c r="D186" i="1" a="1"/>
  <c r="D186" i="1" s="1"/>
  <c r="G42" i="1" a="1"/>
  <c r="G42" i="1" s="1"/>
  <c r="D42" i="1" a="1"/>
  <c r="D42" i="1" s="1"/>
  <c r="F42" i="1" a="1"/>
  <c r="F42" i="1" s="1"/>
  <c r="E42" i="1" a="1"/>
  <c r="E42" i="1" s="1"/>
  <c r="G149" i="1" a="1"/>
  <c r="G149" i="1" s="1"/>
  <c r="F149" i="1" a="1"/>
  <c r="F149" i="1" s="1"/>
  <c r="D149" i="1" a="1"/>
  <c r="D149" i="1" s="1"/>
  <c r="E149" i="1" a="1"/>
  <c r="E149" i="1" s="1"/>
  <c r="G5" i="1" a="1"/>
  <c r="G5" i="1" s="1"/>
  <c r="F5" i="1" a="1"/>
  <c r="F5" i="1" s="1"/>
  <c r="E5" i="1" a="1"/>
  <c r="E5" i="1" s="1"/>
  <c r="D5" i="1" a="1"/>
  <c r="D5" i="1" s="1"/>
  <c r="G205" i="1" a="1"/>
  <c r="G205" i="1" s="1"/>
  <c r="E205" i="1" a="1"/>
  <c r="E205" i="1" s="1"/>
  <c r="D205" i="1" a="1"/>
  <c r="D205" i="1" s="1"/>
  <c r="F205" i="1" a="1"/>
  <c r="F205" i="1" s="1"/>
  <c r="G61" i="1" a="1"/>
  <c r="G61" i="1" s="1"/>
  <c r="E61" i="1" a="1"/>
  <c r="E61" i="1" s="1"/>
  <c r="D61" i="1" a="1"/>
  <c r="D61" i="1" s="1"/>
  <c r="F61" i="1" a="1"/>
  <c r="F61" i="1" s="1"/>
  <c r="G156" i="1" a="1"/>
  <c r="G156" i="1" s="1"/>
  <c r="F156" i="1" a="1"/>
  <c r="F156" i="1" s="1"/>
  <c r="D156" i="1" a="1"/>
  <c r="D156" i="1" s="1"/>
  <c r="E156" i="1" a="1"/>
  <c r="E156" i="1" s="1"/>
  <c r="G12" i="1" a="1"/>
  <c r="G12" i="1" s="1"/>
  <c r="D12" i="1" a="1"/>
  <c r="D12" i="1" s="1"/>
  <c r="E12" i="1" a="1"/>
  <c r="E12" i="1" s="1"/>
  <c r="F12" i="1" a="1"/>
  <c r="F12" i="1" s="1"/>
  <c r="C33" i="1" a="1"/>
  <c r="C33" i="1" s="1"/>
  <c r="G107" i="1" a="1"/>
  <c r="G107" i="1" s="1"/>
  <c r="F107" i="1" a="1"/>
  <c r="F107" i="1" s="1"/>
  <c r="D107" i="1" a="1"/>
  <c r="D107" i="1" s="1"/>
  <c r="E107" i="1" a="1"/>
  <c r="E107" i="1" s="1"/>
  <c r="C168" i="1" a="1"/>
  <c r="C168" i="1" s="1"/>
  <c r="G202" i="1" a="1"/>
  <c r="G202" i="1" s="1"/>
  <c r="E202" i="1" a="1"/>
  <c r="E202" i="1" s="1"/>
  <c r="D202" i="1" a="1"/>
  <c r="D202" i="1" s="1"/>
  <c r="F202" i="1" a="1"/>
  <c r="F202" i="1" s="1"/>
  <c r="G58" i="1" a="1"/>
  <c r="G58" i="1" s="1"/>
  <c r="E58" i="1" a="1"/>
  <c r="E58" i="1" s="1"/>
  <c r="F58" i="1" a="1"/>
  <c r="F58" i="1" s="1"/>
  <c r="D58" i="1" a="1"/>
  <c r="D58" i="1" s="1"/>
  <c r="G165" i="1" a="1"/>
  <c r="G165" i="1" s="1"/>
  <c r="E165" i="1" a="1"/>
  <c r="E165" i="1" s="1"/>
  <c r="F165" i="1" a="1"/>
  <c r="F165" i="1" s="1"/>
  <c r="D165" i="1" a="1"/>
  <c r="D165" i="1" s="1"/>
  <c r="G21" i="1" a="1"/>
  <c r="G21" i="1" s="1"/>
  <c r="F21" i="1" a="1"/>
  <c r="F21" i="1" s="1"/>
  <c r="E21" i="1" a="1"/>
  <c r="E21" i="1" s="1"/>
  <c r="D21" i="1" a="1"/>
  <c r="D21" i="1" s="1"/>
  <c r="G136" i="1" a="1"/>
  <c r="G136" i="1" s="1"/>
  <c r="F136" i="1" a="1"/>
  <c r="F136" i="1" s="1"/>
  <c r="E136" i="1" a="1"/>
  <c r="E136" i="1" s="1"/>
  <c r="D136" i="1" a="1"/>
  <c r="D136" i="1" s="1"/>
  <c r="G15" i="1" a="1"/>
  <c r="G15" i="1" s="1"/>
  <c r="F15" i="1" a="1"/>
  <c r="F15" i="1" s="1"/>
  <c r="E15" i="1" a="1"/>
  <c r="E15" i="1" s="1"/>
  <c r="D15" i="1" a="1"/>
  <c r="D15" i="1" s="1"/>
  <c r="G85" i="1" a="1"/>
  <c r="G85" i="1" s="1"/>
  <c r="F85" i="1" a="1"/>
  <c r="F85" i="1" s="1"/>
  <c r="E85" i="1" a="1"/>
  <c r="E85" i="1" s="1"/>
  <c r="D85" i="1" a="1"/>
  <c r="D85" i="1" s="1"/>
  <c r="G189" i="1" a="1"/>
  <c r="G189" i="1" s="1"/>
  <c r="F189" i="1" a="1"/>
  <c r="F189" i="1" s="1"/>
  <c r="D189" i="1" a="1"/>
  <c r="D189" i="1" s="1"/>
  <c r="E189" i="1" a="1"/>
  <c r="E189" i="1" s="1"/>
  <c r="G127" i="1" a="1"/>
  <c r="G127" i="1" s="1"/>
  <c r="F127" i="1" a="1"/>
  <c r="F127" i="1" s="1"/>
  <c r="D127" i="1" a="1"/>
  <c r="D127" i="1" s="1"/>
  <c r="E127" i="1" a="1"/>
  <c r="E127" i="1" s="1"/>
  <c r="F17" i="1" a="1"/>
  <c r="F17" i="1" s="1"/>
  <c r="G17" i="1" a="1"/>
  <c r="G17" i="1" s="1"/>
  <c r="E17" i="1" a="1"/>
  <c r="E17" i="1" s="1"/>
  <c r="D17" i="1" a="1"/>
  <c r="D17" i="1" s="1"/>
  <c r="C136" i="1" a="1"/>
  <c r="C136" i="1" s="1"/>
  <c r="F73" i="1" a="1"/>
  <c r="F73" i="1" s="1"/>
  <c r="D73" i="1" a="1"/>
  <c r="D73" i="1" s="1"/>
  <c r="G73" i="1" a="1"/>
  <c r="G73" i="1" s="1"/>
  <c r="E73" i="1" a="1"/>
  <c r="E73" i="1" s="1"/>
  <c r="G24" i="1" a="1"/>
  <c r="G24" i="1" s="1"/>
  <c r="F24" i="1" a="1"/>
  <c r="F24" i="1" s="1"/>
  <c r="E24" i="1" a="1"/>
  <c r="E24" i="1" s="1"/>
  <c r="D24" i="1" a="1"/>
  <c r="D24" i="1" s="1"/>
  <c r="G214" i="1" a="1"/>
  <c r="G214" i="1" s="1"/>
  <c r="E214" i="1" a="1"/>
  <c r="E214" i="1" s="1"/>
  <c r="F214" i="1" a="1"/>
  <c r="F214" i="1" s="1"/>
  <c r="D214" i="1" a="1"/>
  <c r="D214" i="1" s="1"/>
  <c r="G177" i="1" a="1"/>
  <c r="G177" i="1" s="1"/>
  <c r="F177" i="1" a="1"/>
  <c r="F177" i="1" s="1"/>
  <c r="E177" i="1" a="1"/>
  <c r="E177" i="1" s="1"/>
  <c r="D177" i="1" a="1"/>
  <c r="D177" i="1" s="1"/>
  <c r="G148" i="1" a="1"/>
  <c r="G148" i="1" s="1"/>
  <c r="D148" i="1" a="1"/>
  <c r="D148" i="1" s="1"/>
  <c r="F148" i="1" a="1"/>
  <c r="F148" i="1" s="1"/>
  <c r="E148" i="1" a="1"/>
  <c r="E148" i="1" s="1"/>
  <c r="D124" i="1" a="1"/>
  <c r="D124" i="1" s="1"/>
  <c r="G124" i="1" a="1"/>
  <c r="G124" i="1" s="1"/>
  <c r="F124" i="1" a="1"/>
  <c r="F124" i="1" s="1"/>
  <c r="E124" i="1" a="1"/>
  <c r="E124" i="1" s="1"/>
  <c r="G80" i="1" a="1"/>
  <c r="G80" i="1" s="1"/>
  <c r="F80" i="1" a="1"/>
  <c r="F80" i="1" s="1"/>
  <c r="D80" i="1" a="1"/>
  <c r="D80" i="1" s="1"/>
  <c r="E80" i="1" a="1"/>
  <c r="E80" i="1" s="1"/>
  <c r="G199" i="1" a="1"/>
  <c r="G199" i="1" s="1"/>
  <c r="F199" i="1" a="1"/>
  <c r="F199" i="1" s="1"/>
  <c r="E199" i="1" a="1"/>
  <c r="E199" i="1" s="1"/>
  <c r="D199" i="1" a="1"/>
  <c r="D199" i="1" s="1"/>
  <c r="G51" i="1" a="1"/>
  <c r="G51" i="1" s="1"/>
  <c r="D51" i="1" a="1"/>
  <c r="D51" i="1" s="1"/>
  <c r="E51" i="1" a="1"/>
  <c r="E51" i="1" s="1"/>
  <c r="F51" i="1" a="1"/>
  <c r="F51" i="1" s="1"/>
  <c r="G200" i="1" a="1"/>
  <c r="G200" i="1" s="1"/>
  <c r="F200" i="1" a="1"/>
  <c r="F200" i="1" s="1"/>
  <c r="E200" i="1" a="1"/>
  <c r="E200" i="1" s="1"/>
  <c r="D200" i="1" a="1"/>
  <c r="D200" i="1" s="1"/>
  <c r="G19" i="1" a="1"/>
  <c r="G19" i="1" s="1"/>
  <c r="F19" i="1" a="1"/>
  <c r="F19" i="1" s="1"/>
  <c r="E19" i="1" a="1"/>
  <c r="E19" i="1" s="1"/>
  <c r="D19" i="1" a="1"/>
  <c r="D19" i="1" s="1"/>
  <c r="G68" i="1" a="1"/>
  <c r="G68" i="1" s="1"/>
  <c r="E68" i="1" a="1"/>
  <c r="E68" i="1" s="1"/>
  <c r="D68" i="1" a="1"/>
  <c r="D68" i="1" s="1"/>
  <c r="F68" i="1" a="1"/>
  <c r="F68" i="1" s="1"/>
  <c r="G174" i="1" a="1"/>
  <c r="G174" i="1" s="1"/>
  <c r="D174" i="1" a="1"/>
  <c r="D174" i="1" s="1"/>
  <c r="E174" i="1" a="1"/>
  <c r="E174" i="1" s="1"/>
  <c r="F174" i="1" a="1"/>
  <c r="F174" i="1" s="1"/>
  <c r="G30" i="1" a="1"/>
  <c r="G30" i="1" s="1"/>
  <c r="D30" i="1" a="1"/>
  <c r="D30" i="1" s="1"/>
  <c r="F30" i="1" a="1"/>
  <c r="F30" i="1" s="1"/>
  <c r="E30" i="1" a="1"/>
  <c r="E30" i="1" s="1"/>
  <c r="G137" i="1" a="1"/>
  <c r="G137" i="1" s="1"/>
  <c r="F137" i="1" a="1"/>
  <c r="F137" i="1" s="1"/>
  <c r="E137" i="1" a="1"/>
  <c r="E137" i="1" s="1"/>
  <c r="D137" i="1" a="1"/>
  <c r="D137" i="1" s="1"/>
  <c r="G193" i="1" a="1"/>
  <c r="G193" i="1" s="1"/>
  <c r="E193" i="1" a="1"/>
  <c r="E193" i="1" s="1"/>
  <c r="D193" i="1" a="1"/>
  <c r="D193" i="1" s="1"/>
  <c r="F193" i="1" a="1"/>
  <c r="F193" i="1" s="1"/>
  <c r="F49" i="1" a="1"/>
  <c r="F49" i="1" s="1"/>
  <c r="G49" i="1" a="1"/>
  <c r="G49" i="1" s="1"/>
  <c r="D49" i="1" a="1"/>
  <c r="D49" i="1" s="1"/>
  <c r="E49" i="1" a="1"/>
  <c r="E49" i="1" s="1"/>
  <c r="G144" i="1" a="1"/>
  <c r="G144" i="1" s="1"/>
  <c r="E144" i="1" a="1"/>
  <c r="E144" i="1" s="1"/>
  <c r="F144" i="1" a="1"/>
  <c r="F144" i="1" s="1"/>
  <c r="D144" i="1" a="1"/>
  <c r="D144" i="1" s="1"/>
  <c r="C15" i="1" a="1"/>
  <c r="C15" i="1" s="1"/>
  <c r="G95" i="1" a="1"/>
  <c r="G95" i="1" s="1"/>
  <c r="F95" i="1" a="1"/>
  <c r="F95" i="1" s="1"/>
  <c r="E95" i="1" a="1"/>
  <c r="E95" i="1" s="1"/>
  <c r="D95" i="1" a="1"/>
  <c r="D95" i="1" s="1"/>
  <c r="G190" i="1" a="1"/>
  <c r="G190" i="1" s="1"/>
  <c r="F190" i="1" a="1"/>
  <c r="F190" i="1" s="1"/>
  <c r="E190" i="1" a="1"/>
  <c r="E190" i="1" s="1"/>
  <c r="D190" i="1" a="1"/>
  <c r="D190" i="1" s="1"/>
  <c r="G46" i="1" a="1"/>
  <c r="G46" i="1" s="1"/>
  <c r="F46" i="1" a="1"/>
  <c r="F46" i="1" s="1"/>
  <c r="E46" i="1" a="1"/>
  <c r="E46" i="1" s="1"/>
  <c r="D46" i="1" a="1"/>
  <c r="D46" i="1" s="1"/>
  <c r="C50" i="1" a="1"/>
  <c r="C50" i="1" s="1"/>
  <c r="G153" i="1" a="1"/>
  <c r="G153" i="1" s="1"/>
  <c r="D153" i="1" a="1"/>
  <c r="D153" i="1" s="1"/>
  <c r="F153" i="1" a="1"/>
  <c r="F153" i="1" s="1"/>
  <c r="E153" i="1" a="1"/>
  <c r="E153" i="1" s="1"/>
  <c r="G9" i="1" a="1"/>
  <c r="G9" i="1" s="1"/>
  <c r="F9" i="1" a="1"/>
  <c r="F9" i="1" s="1"/>
  <c r="E9" i="1" a="1"/>
  <c r="E9" i="1" s="1"/>
  <c r="D9" i="1" a="1"/>
  <c r="D9" i="1" s="1"/>
  <c r="G28" i="1" a="1"/>
  <c r="G28" i="1" s="1"/>
  <c r="F28" i="1" a="1"/>
  <c r="F28" i="1" s="1"/>
  <c r="D28" i="1" a="1"/>
  <c r="D28" i="1" s="1"/>
  <c r="E28" i="1" a="1"/>
  <c r="E28" i="1" s="1"/>
  <c r="G173" i="1" a="1"/>
  <c r="G173" i="1" s="1"/>
  <c r="F173" i="1" a="1"/>
  <c r="F173" i="1" s="1"/>
  <c r="E173" i="1" a="1"/>
  <c r="E173" i="1" s="1"/>
  <c r="D173" i="1" a="1"/>
  <c r="D173" i="1" s="1"/>
  <c r="G36" i="1" a="1"/>
  <c r="G36" i="1" s="1"/>
  <c r="F36" i="1" a="1"/>
  <c r="F36" i="1" s="1"/>
  <c r="D36" i="1" a="1"/>
  <c r="D36" i="1" s="1"/>
  <c r="E36" i="1" a="1"/>
  <c r="E36" i="1" s="1"/>
  <c r="G139" i="1" a="1"/>
  <c r="G139" i="1" s="1"/>
  <c r="F139" i="1" a="1"/>
  <c r="F139" i="1" s="1"/>
  <c r="E139" i="1" a="1"/>
  <c r="E139" i="1" s="1"/>
  <c r="D139" i="1" a="1"/>
  <c r="D139" i="1" s="1"/>
  <c r="G86" i="1" a="1"/>
  <c r="G86" i="1" s="1"/>
  <c r="F86" i="1" a="1"/>
  <c r="F86" i="1" s="1"/>
  <c r="E86" i="1" a="1"/>
  <c r="E86" i="1" s="1"/>
  <c r="D86" i="1" a="1"/>
  <c r="D86" i="1" s="1"/>
  <c r="G181" i="1" a="1"/>
  <c r="G181" i="1" s="1"/>
  <c r="F181" i="1" a="1"/>
  <c r="F181" i="1" s="1"/>
  <c r="E181" i="1" a="1"/>
  <c r="E181" i="1" s="1"/>
  <c r="D181" i="1" a="1"/>
  <c r="D181" i="1" s="1"/>
  <c r="G227" i="1" a="1"/>
  <c r="G227" i="1" s="1"/>
  <c r="E227" i="1" a="1"/>
  <c r="E227" i="1" s="1"/>
  <c r="F227" i="1" a="1"/>
  <c r="F227" i="1" s="1"/>
  <c r="D227" i="1" a="1"/>
  <c r="D227" i="1" s="1"/>
  <c r="G14" i="1" a="1"/>
  <c r="G14" i="1" s="1"/>
  <c r="F14" i="1" a="1"/>
  <c r="F14" i="1" s="1"/>
  <c r="E14" i="1" a="1"/>
  <c r="E14" i="1" s="1"/>
  <c r="D14" i="1" a="1"/>
  <c r="D14" i="1" s="1"/>
  <c r="G25" i="1" a="1"/>
  <c r="G25" i="1" s="1"/>
  <c r="F25" i="1" a="1"/>
  <c r="F25" i="1" s="1"/>
  <c r="D25" i="1" a="1"/>
  <c r="D25" i="1" s="1"/>
  <c r="E25" i="1" a="1"/>
  <c r="E25" i="1" s="1"/>
  <c r="C25" i="1" a="1"/>
  <c r="C25" i="1" s="1"/>
  <c r="G215" i="1" a="1"/>
  <c r="G215" i="1" s="1"/>
  <c r="E215" i="1" a="1"/>
  <c r="E215" i="1" s="1"/>
  <c r="F215" i="1" a="1"/>
  <c r="F215" i="1" s="1"/>
  <c r="D215" i="1" a="1"/>
  <c r="D215" i="1" s="1"/>
  <c r="G129" i="1" a="1"/>
  <c r="G129" i="1" s="1"/>
  <c r="F129" i="1" a="1"/>
  <c r="F129" i="1" s="1"/>
  <c r="D129" i="1" a="1"/>
  <c r="D129" i="1" s="1"/>
  <c r="E129" i="1" a="1"/>
  <c r="E129" i="1" s="1"/>
  <c r="G182" i="1" a="1"/>
  <c r="G182" i="1" s="1"/>
  <c r="E182" i="1" a="1"/>
  <c r="E182" i="1" s="1"/>
  <c r="F182" i="1" a="1"/>
  <c r="F182" i="1" s="1"/>
  <c r="D182" i="1" a="1"/>
  <c r="D182" i="1" s="1"/>
  <c r="G175" i="1" a="1"/>
  <c r="G175" i="1" s="1"/>
  <c r="F175" i="1" a="1"/>
  <c r="F175" i="1" s="1"/>
  <c r="E175" i="1" a="1"/>
  <c r="E175" i="1" s="1"/>
  <c r="D175" i="1" a="1"/>
  <c r="D175" i="1" s="1"/>
  <c r="G112" i="1" a="1"/>
  <c r="G112" i="1" s="1"/>
  <c r="E112" i="1" a="1"/>
  <c r="E112" i="1" s="1"/>
  <c r="D112" i="1" a="1"/>
  <c r="D112" i="1" s="1"/>
  <c r="F112" i="1" a="1"/>
  <c r="F112" i="1" s="1"/>
  <c r="G188" i="1" a="1"/>
  <c r="G188" i="1" s="1"/>
  <c r="F188" i="1" a="1"/>
  <c r="F188" i="1" s="1"/>
  <c r="E188" i="1" a="1"/>
  <c r="E188" i="1" s="1"/>
  <c r="D188" i="1" a="1"/>
  <c r="D188" i="1" s="1"/>
  <c r="G187" i="1" a="1"/>
  <c r="G187" i="1" s="1"/>
  <c r="F187" i="1" a="1"/>
  <c r="F187" i="1" s="1"/>
  <c r="E187" i="1" a="1"/>
  <c r="E187" i="1" s="1"/>
  <c r="D187" i="1" a="1"/>
  <c r="D187" i="1" s="1"/>
  <c r="C198" i="1" a="1"/>
  <c r="C198" i="1" s="1"/>
  <c r="G138" i="1" a="1"/>
  <c r="G138" i="1" s="1"/>
  <c r="F138" i="1" a="1"/>
  <c r="F138" i="1" s="1"/>
  <c r="D138" i="1" a="1"/>
  <c r="D138" i="1" s="1"/>
  <c r="E138" i="1" a="1"/>
  <c r="E138" i="1" s="1"/>
  <c r="C227" i="1" a="1"/>
  <c r="C227" i="1" s="1"/>
  <c r="C119" i="1" a="1"/>
  <c r="C119" i="1" s="1"/>
  <c r="G101" i="1" a="1"/>
  <c r="G101" i="1" s="1"/>
  <c r="E101" i="1" a="1"/>
  <c r="E101" i="1" s="1"/>
  <c r="F101" i="1" a="1"/>
  <c r="F101" i="1" s="1"/>
  <c r="D101" i="1" a="1"/>
  <c r="D101" i="1" s="1"/>
  <c r="C199" i="1" a="1"/>
  <c r="C199" i="1" s="1"/>
  <c r="C99" i="1" a="1"/>
  <c r="C99" i="1" s="1"/>
  <c r="G157" i="1" a="1"/>
  <c r="G157" i="1" s="1"/>
  <c r="F157" i="1" a="1"/>
  <c r="F157" i="1" s="1"/>
  <c r="E157" i="1" a="1"/>
  <c r="E157" i="1" s="1"/>
  <c r="D157" i="1" a="1"/>
  <c r="D157" i="1" s="1"/>
  <c r="F13" i="1" a="1"/>
  <c r="F13" i="1" s="1"/>
  <c r="D13" i="1" a="1"/>
  <c r="D13" i="1" s="1"/>
  <c r="E13" i="1" a="1"/>
  <c r="E13" i="1" s="1"/>
  <c r="G13" i="1" a="1"/>
  <c r="G13" i="1" s="1"/>
  <c r="C124" i="1" a="1"/>
  <c r="C124" i="1" s="1"/>
  <c r="G108" i="1" a="1"/>
  <c r="G108" i="1" s="1"/>
  <c r="E108" i="1" a="1"/>
  <c r="E108" i="1" s="1"/>
  <c r="F108" i="1" a="1"/>
  <c r="F108" i="1" s="1"/>
  <c r="D108" i="1" a="1"/>
  <c r="D108" i="1" s="1"/>
  <c r="C177" i="1" a="1"/>
  <c r="C177" i="1" s="1"/>
  <c r="G203" i="1" a="1"/>
  <c r="G203" i="1" s="1"/>
  <c r="E203" i="1" a="1"/>
  <c r="E203" i="1" s="1"/>
  <c r="D203" i="1" a="1"/>
  <c r="D203" i="1" s="1"/>
  <c r="F203" i="1" a="1"/>
  <c r="F203" i="1" s="1"/>
  <c r="G59" i="1" a="1"/>
  <c r="G59" i="1" s="1"/>
  <c r="D59" i="1" a="1"/>
  <c r="D59" i="1" s="1"/>
  <c r="F59" i="1" a="1"/>
  <c r="F59" i="1" s="1"/>
  <c r="E59" i="1" a="1"/>
  <c r="E59" i="1" s="1"/>
  <c r="F154" i="1" a="1"/>
  <c r="F154" i="1" s="1"/>
  <c r="E154" i="1" a="1"/>
  <c r="E154" i="1" s="1"/>
  <c r="D154" i="1" a="1"/>
  <c r="D154" i="1" s="1"/>
  <c r="G154" i="1" a="1"/>
  <c r="G154" i="1" s="1"/>
  <c r="G10" i="1" a="1"/>
  <c r="G10" i="1" s="1"/>
  <c r="E10" i="1" a="1"/>
  <c r="E10" i="1" s="1"/>
  <c r="D10" i="1" a="1"/>
  <c r="D10" i="1" s="1"/>
  <c r="F10" i="1" a="1"/>
  <c r="F10" i="1" s="1"/>
  <c r="G117" i="1" a="1"/>
  <c r="G117" i="1" s="1"/>
  <c r="F117" i="1" a="1"/>
  <c r="F117" i="1" s="1"/>
  <c r="E117" i="1" a="1"/>
  <c r="E117" i="1" s="1"/>
  <c r="D117" i="1" a="1"/>
  <c r="D117" i="1" s="1"/>
  <c r="G158" i="1" a="1"/>
  <c r="G158" i="1" s="1"/>
  <c r="F158" i="1" a="1"/>
  <c r="F158" i="1" s="1"/>
  <c r="E158" i="1" a="1"/>
  <c r="E158" i="1" s="1"/>
  <c r="D158" i="1" a="1"/>
  <c r="D158" i="1" s="1"/>
  <c r="G229" i="1" a="1"/>
  <c r="G229" i="1" s="1"/>
  <c r="F229" i="1" a="1"/>
  <c r="F229" i="1" s="1"/>
  <c r="E229" i="1" a="1"/>
  <c r="E229" i="1" s="1"/>
  <c r="D229" i="1" a="1"/>
  <c r="D229" i="1" s="1"/>
  <c r="E110" i="1" a="1"/>
  <c r="E110" i="1" s="1"/>
  <c r="G110" i="1" a="1"/>
  <c r="G110" i="1" s="1"/>
  <c r="D110" i="1" a="1"/>
  <c r="D110" i="1" s="1"/>
  <c r="F110" i="1" a="1"/>
  <c r="F110" i="1" s="1"/>
  <c r="G122" i="1" a="1"/>
  <c r="G122" i="1" s="1"/>
  <c r="D122" i="1" a="1"/>
  <c r="D122" i="1" s="1"/>
  <c r="E122" i="1" a="1"/>
  <c r="E122" i="1" s="1"/>
  <c r="F122" i="1" a="1"/>
  <c r="F122" i="1" s="1"/>
  <c r="G140" i="1" a="1"/>
  <c r="G140" i="1" s="1"/>
  <c r="F140" i="1" a="1"/>
  <c r="F140" i="1" s="1"/>
  <c r="E140" i="1" a="1"/>
  <c r="E140" i="1" s="1"/>
  <c r="D140" i="1" a="1"/>
  <c r="D140" i="1" s="1"/>
  <c r="G18" i="1" a="1"/>
  <c r="G18" i="1" s="1"/>
  <c r="F18" i="1" a="1"/>
  <c r="F18" i="1" s="1"/>
  <c r="D18" i="1" a="1"/>
  <c r="D18" i="1" s="1"/>
  <c r="E18" i="1" a="1"/>
  <c r="E18" i="1" s="1"/>
  <c r="D83" i="1" a="1"/>
  <c r="D83" i="1" s="1"/>
  <c r="G83" i="1" a="1"/>
  <c r="G83" i="1" s="1"/>
  <c r="F83" i="1" a="1"/>
  <c r="F83" i="1" s="1"/>
  <c r="E83" i="1" a="1"/>
  <c r="E83" i="1" s="1"/>
  <c r="G208" i="1" a="1"/>
  <c r="G208" i="1" s="1"/>
  <c r="F208" i="1" a="1"/>
  <c r="F208" i="1" s="1"/>
  <c r="D208" i="1" a="1"/>
  <c r="D208" i="1" s="1"/>
  <c r="E208" i="1" a="1"/>
  <c r="E208" i="1" s="1"/>
  <c r="G150" i="1" a="1"/>
  <c r="G150" i="1" s="1"/>
  <c r="E150" i="1" a="1"/>
  <c r="E150" i="1" s="1"/>
  <c r="D150" i="1" a="1"/>
  <c r="D150" i="1" s="1"/>
  <c r="F150" i="1" a="1"/>
  <c r="F150" i="1" s="1"/>
  <c r="G120" i="1" a="1"/>
  <c r="G120" i="1" s="1"/>
  <c r="D120" i="1" a="1"/>
  <c r="D120" i="1" s="1"/>
  <c r="E120" i="1" a="1"/>
  <c r="E120" i="1" s="1"/>
  <c r="F120" i="1" a="1"/>
  <c r="F120" i="1" s="1"/>
  <c r="F22" i="1" a="1"/>
  <c r="F22" i="1" s="1"/>
  <c r="E22" i="1" a="1"/>
  <c r="E22" i="1" s="1"/>
  <c r="G22" i="1" a="1"/>
  <c r="G22" i="1" s="1"/>
  <c r="D22" i="1" a="1"/>
  <c r="D22" i="1" s="1"/>
  <c r="C140" i="1" a="1"/>
  <c r="C140" i="1" s="1"/>
  <c r="G63" i="1" a="1"/>
  <c r="G63" i="1" s="1"/>
  <c r="F63" i="1" a="1"/>
  <c r="F63" i="1" s="1"/>
  <c r="E63" i="1" a="1"/>
  <c r="E63" i="1" s="1"/>
  <c r="D63" i="1" a="1"/>
  <c r="D63" i="1" s="1"/>
  <c r="G32" i="1" a="1"/>
  <c r="G32" i="1" s="1"/>
  <c r="E32" i="1" a="1"/>
  <c r="E32" i="1" s="1"/>
  <c r="D32" i="1" a="1"/>
  <c r="D32" i="1" s="1"/>
  <c r="F32" i="1" a="1"/>
  <c r="F32" i="1" s="1"/>
  <c r="E151" i="1" a="1"/>
  <c r="E151" i="1" s="1"/>
  <c r="D151" i="1" a="1"/>
  <c r="D151" i="1" s="1"/>
  <c r="G151" i="1" a="1"/>
  <c r="G151" i="1" s="1"/>
  <c r="F151" i="1" a="1"/>
  <c r="F151" i="1" s="1"/>
  <c r="G147" i="1" a="1"/>
  <c r="G147" i="1" s="1"/>
  <c r="F147" i="1" a="1"/>
  <c r="F147" i="1" s="1"/>
  <c r="E147" i="1" a="1"/>
  <c r="E147" i="1" s="1"/>
  <c r="D147" i="1" a="1"/>
  <c r="D147" i="1" s="1"/>
  <c r="C207" i="1" a="1"/>
  <c r="C207" i="1" s="1"/>
  <c r="G55" i="1" a="1"/>
  <c r="G55" i="1" s="1"/>
  <c r="F55" i="1" a="1"/>
  <c r="F55" i="1" s="1"/>
  <c r="D55" i="1" a="1"/>
  <c r="D55" i="1" s="1"/>
  <c r="E55" i="1" a="1"/>
  <c r="E55" i="1" s="1"/>
  <c r="C80" i="1" a="1"/>
  <c r="C80" i="1" s="1"/>
  <c r="G160" i="1" a="1"/>
  <c r="G160" i="1" s="1"/>
  <c r="E160" i="1" a="1"/>
  <c r="E160" i="1" s="1"/>
  <c r="F160" i="1" a="1"/>
  <c r="F160" i="1" s="1"/>
  <c r="D160" i="1" a="1"/>
  <c r="D160" i="1" s="1"/>
  <c r="G159" i="1" a="1"/>
  <c r="G159" i="1" s="1"/>
  <c r="F159" i="1" a="1"/>
  <c r="F159" i="1" s="1"/>
  <c r="D159" i="1" a="1"/>
  <c r="D159" i="1" s="1"/>
  <c r="E159" i="1" a="1"/>
  <c r="E159" i="1" s="1"/>
  <c r="C36" i="1" a="1"/>
  <c r="C36" i="1" s="1"/>
  <c r="G126" i="1" a="1"/>
  <c r="G126" i="1" s="1"/>
  <c r="F126" i="1" a="1"/>
  <c r="F126" i="1" s="1"/>
  <c r="E126" i="1" a="1"/>
  <c r="E126" i="1" s="1"/>
  <c r="D126" i="1" a="1"/>
  <c r="D126" i="1" s="1"/>
  <c r="C110" i="1" a="1"/>
  <c r="C110" i="1" s="1"/>
  <c r="G89" i="1" a="1"/>
  <c r="G89" i="1" s="1"/>
  <c r="D89" i="1" a="1"/>
  <c r="D89" i="1" s="1"/>
  <c r="F89" i="1" a="1"/>
  <c r="F89" i="1" s="1"/>
  <c r="E89" i="1" a="1"/>
  <c r="E89" i="1" s="1"/>
  <c r="G145" i="1" a="1"/>
  <c r="G145" i="1" s="1"/>
  <c r="D145" i="1" a="1"/>
  <c r="D145" i="1" s="1"/>
  <c r="F145" i="1" a="1"/>
  <c r="F145" i="1" s="1"/>
  <c r="E145" i="1" a="1"/>
  <c r="E145" i="1" s="1"/>
  <c r="G96" i="1" a="1"/>
  <c r="G96" i="1" s="1"/>
  <c r="F96" i="1" a="1"/>
  <c r="F96" i="1" s="1"/>
  <c r="D96" i="1" a="1"/>
  <c r="D96" i="1" s="1"/>
  <c r="E96" i="1" a="1"/>
  <c r="E96" i="1" s="1"/>
  <c r="C159" i="1" a="1"/>
  <c r="C159" i="1" s="1"/>
  <c r="G191" i="1" a="1"/>
  <c r="G191" i="1" s="1"/>
  <c r="F191" i="1" a="1"/>
  <c r="F191" i="1" s="1"/>
  <c r="E191" i="1" a="1"/>
  <c r="E191" i="1" s="1"/>
  <c r="D191" i="1" a="1"/>
  <c r="D191" i="1" s="1"/>
  <c r="G47" i="1" a="1"/>
  <c r="G47" i="1" s="1"/>
  <c r="F47" i="1" a="1"/>
  <c r="F47" i="1" s="1"/>
  <c r="D47" i="1" a="1"/>
  <c r="D47" i="1" s="1"/>
  <c r="E47" i="1" a="1"/>
  <c r="E47" i="1" s="1"/>
  <c r="G142" i="1" a="1"/>
  <c r="G142" i="1" s="1"/>
  <c r="E142" i="1" a="1"/>
  <c r="E142" i="1" s="1"/>
  <c r="D142" i="1" a="1"/>
  <c r="D142" i="1" s="1"/>
  <c r="F142" i="1" a="1"/>
  <c r="F142" i="1" s="1"/>
  <c r="C122" i="1" a="1"/>
  <c r="C122" i="1" s="1"/>
  <c r="C14" i="1" a="1"/>
  <c r="C14" i="1" s="1"/>
  <c r="G105" i="1" a="1"/>
  <c r="G105" i="1" s="1"/>
  <c r="F105" i="1" a="1"/>
  <c r="F105" i="1" s="1"/>
  <c r="E105" i="1" a="1"/>
  <c r="E105" i="1" s="1"/>
  <c r="D105" i="1" a="1"/>
  <c r="D105" i="1" s="1"/>
  <c r="C202" i="1" a="1"/>
  <c r="C202" i="1" s="1"/>
  <c r="E7" i="1" a="1"/>
  <c r="E7" i="1" s="1"/>
  <c r="D7" i="1" a="1"/>
  <c r="D7" i="1" s="1"/>
  <c r="F7" i="1" a="1"/>
  <c r="F7" i="1" s="1"/>
  <c r="G7" i="1" a="1"/>
  <c r="G7" i="1" s="1"/>
  <c r="F16" i="1" a="1"/>
  <c r="F16" i="1" s="1"/>
  <c r="G16" i="1" a="1"/>
  <c r="G16" i="1" s="1"/>
  <c r="E16" i="1" a="1"/>
  <c r="E16" i="1" s="1"/>
  <c r="D16" i="1" a="1"/>
  <c r="D16" i="1" s="1"/>
  <c r="C173" i="1" a="1"/>
  <c r="C173" i="1" s="1"/>
  <c r="G226" i="1" a="1"/>
  <c r="G226" i="1" s="1"/>
  <c r="F226" i="1" a="1"/>
  <c r="F226" i="1" s="1"/>
  <c r="E226" i="1" a="1"/>
  <c r="E226" i="1" s="1"/>
  <c r="D226" i="1" a="1"/>
  <c r="D226" i="1" s="1"/>
  <c r="C189" i="1" a="1"/>
  <c r="C189" i="1" s="1"/>
  <c r="G76" i="1" a="1"/>
  <c r="G76" i="1" s="1"/>
  <c r="F76" i="1" a="1"/>
  <c r="F76" i="1" s="1"/>
  <c r="D76" i="1" a="1"/>
  <c r="D76" i="1" s="1"/>
  <c r="E76" i="1" a="1"/>
  <c r="E76" i="1" s="1"/>
  <c r="G20" i="1" a="1"/>
  <c r="G20" i="1" s="1"/>
  <c r="F20" i="1" a="1"/>
  <c r="F20" i="1" s="1"/>
  <c r="D20" i="1" a="1"/>
  <c r="D20" i="1" s="1"/>
  <c r="E20" i="1" a="1"/>
  <c r="E20" i="1" s="1"/>
  <c r="G162" i="1" a="1"/>
  <c r="G162" i="1" s="1"/>
  <c r="E162" i="1" a="1"/>
  <c r="E162" i="1" s="1"/>
  <c r="D162" i="1" a="1"/>
  <c r="D162" i="1" s="1"/>
  <c r="F162" i="1" a="1"/>
  <c r="F162" i="1" s="1"/>
  <c r="C217" i="1" a="1"/>
  <c r="C217" i="1" s="1"/>
  <c r="G178" i="1" a="1"/>
  <c r="G178" i="1" s="1"/>
  <c r="F178" i="1" a="1"/>
  <c r="F178" i="1" s="1"/>
  <c r="E178" i="1" a="1"/>
  <c r="E178" i="1" s="1"/>
  <c r="D178" i="1" a="1"/>
  <c r="D178" i="1" s="1"/>
  <c r="G219" i="1" a="1"/>
  <c r="G219" i="1" s="1"/>
  <c r="F219" i="1" a="1"/>
  <c r="F219" i="1" s="1"/>
  <c r="E219" i="1" a="1"/>
  <c r="E219" i="1" s="1"/>
  <c r="D219" i="1" a="1"/>
  <c r="D219" i="1" s="1"/>
  <c r="G6" i="1" a="1"/>
  <c r="G6" i="1" s="1"/>
  <c r="F6" i="1" a="1"/>
  <c r="F6" i="1" s="1"/>
  <c r="E6" i="1" a="1"/>
  <c r="E6" i="1" s="1"/>
  <c r="D6" i="1" a="1"/>
  <c r="D6" i="1" s="1"/>
  <c r="G169" i="1" a="1"/>
  <c r="G169" i="1" s="1"/>
  <c r="F169" i="1" a="1"/>
  <c r="F169" i="1" s="1"/>
  <c r="E169" i="1" a="1"/>
  <c r="E169" i="1" s="1"/>
  <c r="D169" i="1" a="1"/>
  <c r="D169" i="1" s="1"/>
  <c r="G166" i="1" a="1"/>
  <c r="G166" i="1" s="1"/>
  <c r="F166" i="1" a="1"/>
  <c r="F166" i="1" s="1"/>
  <c r="E166" i="1" a="1"/>
  <c r="E166" i="1" s="1"/>
  <c r="D166" i="1" a="1"/>
  <c r="D166" i="1" s="1"/>
  <c r="D4" i="1" a="1"/>
  <c r="D4" i="1" s="1"/>
  <c r="G4" i="1" a="1"/>
  <c r="G4" i="1" s="1"/>
  <c r="F4" i="1" a="1"/>
  <c r="F4" i="1" s="1"/>
  <c r="E4" i="1" a="1"/>
  <c r="E4" i="1" s="1"/>
  <c r="D123" i="1" a="1"/>
  <c r="D123" i="1" s="1"/>
  <c r="F123" i="1" a="1"/>
  <c r="F123" i="1" s="1"/>
  <c r="G123" i="1" a="1"/>
  <c r="G123" i="1" s="1"/>
  <c r="E123" i="1" a="1"/>
  <c r="E123" i="1" s="1"/>
  <c r="G116" i="1" a="1"/>
  <c r="G116" i="1" s="1"/>
  <c r="E116" i="1" a="1"/>
  <c r="E116" i="1" s="1"/>
  <c r="F116" i="1" a="1"/>
  <c r="F116" i="1" s="1"/>
  <c r="D116" i="1" a="1"/>
  <c r="D116" i="1" s="1"/>
  <c r="C17" i="1" a="1"/>
  <c r="C17" i="1" s="1"/>
  <c r="C111" i="1" a="1"/>
  <c r="C111" i="1" s="1"/>
  <c r="G220" i="1" a="1"/>
  <c r="G220" i="1" s="1"/>
  <c r="F220" i="1" a="1"/>
  <c r="F220" i="1" s="1"/>
  <c r="E220" i="1" a="1"/>
  <c r="E220" i="1" s="1"/>
  <c r="D220" i="1" a="1"/>
  <c r="D220" i="1" s="1"/>
  <c r="G134" i="1" a="1"/>
  <c r="G134" i="1" s="1"/>
  <c r="E134" i="1" a="1"/>
  <c r="E134" i="1" s="1"/>
  <c r="F134" i="1" a="1"/>
  <c r="F134" i="1" s="1"/>
  <c r="D134" i="1" a="1"/>
  <c r="D134" i="1" s="1"/>
  <c r="G128" i="1" a="1"/>
  <c r="G128" i="1" s="1"/>
  <c r="F128" i="1" a="1"/>
  <c r="F128" i="1" s="1"/>
  <c r="D128" i="1" a="1"/>
  <c r="D128" i="1" s="1"/>
  <c r="E128" i="1" a="1"/>
  <c r="E128" i="1" s="1"/>
  <c r="G146" i="1" a="1"/>
  <c r="G146" i="1" s="1"/>
  <c r="F146" i="1" a="1"/>
  <c r="F146" i="1" s="1"/>
  <c r="E146" i="1" a="1"/>
  <c r="E146" i="1" s="1"/>
  <c r="D146" i="1" a="1"/>
  <c r="D146" i="1" s="1"/>
  <c r="C129" i="1" a="1"/>
  <c r="C129" i="1" s="1"/>
  <c r="D114" i="1" a="1"/>
  <c r="D114" i="1" s="1"/>
  <c r="E114" i="1" a="1"/>
  <c r="E114" i="1" s="1"/>
  <c r="F114" i="1" a="1"/>
  <c r="F114" i="1" s="1"/>
  <c r="G114" i="1" a="1"/>
  <c r="G114" i="1" s="1"/>
  <c r="G221" i="1" a="1"/>
  <c r="G221" i="1" s="1"/>
  <c r="F221" i="1" a="1"/>
  <c r="F221" i="1" s="1"/>
  <c r="E221" i="1" a="1"/>
  <c r="E221" i="1" s="1"/>
  <c r="D221" i="1" a="1"/>
  <c r="D221" i="1" s="1"/>
  <c r="G77" i="1" a="1"/>
  <c r="G77" i="1" s="1"/>
  <c r="E77" i="1" a="1"/>
  <c r="E77" i="1" s="1"/>
  <c r="F77" i="1" a="1"/>
  <c r="F77" i="1" s="1"/>
  <c r="D77" i="1" a="1"/>
  <c r="D77" i="1" s="1"/>
  <c r="C181" i="1" a="1"/>
  <c r="C181" i="1" s="1"/>
  <c r="C73" i="1" a="1"/>
  <c r="C73" i="1" s="1"/>
  <c r="C63" i="1" a="1"/>
  <c r="C63" i="1" s="1"/>
  <c r="G133" i="1" a="1"/>
  <c r="G133" i="1" s="1"/>
  <c r="E133" i="1" a="1"/>
  <c r="E133" i="1" s="1"/>
  <c r="D133" i="1" a="1"/>
  <c r="D133" i="1" s="1"/>
  <c r="F133" i="1" a="1"/>
  <c r="F133" i="1" s="1"/>
  <c r="C214" i="1" a="1"/>
  <c r="C214" i="1" s="1"/>
  <c r="G228" i="1" a="1"/>
  <c r="G228" i="1" s="1"/>
  <c r="F228" i="1" a="1"/>
  <c r="F228" i="1" s="1"/>
  <c r="D228" i="1" a="1"/>
  <c r="D228" i="1" s="1"/>
  <c r="E228" i="1" a="1"/>
  <c r="E228" i="1" s="1"/>
  <c r="G84" i="1" a="1"/>
  <c r="G84" i="1" s="1"/>
  <c r="F84" i="1" a="1"/>
  <c r="F84" i="1" s="1"/>
  <c r="E84" i="1" a="1"/>
  <c r="E84" i="1" s="1"/>
  <c r="D84" i="1" a="1"/>
  <c r="D84" i="1" s="1"/>
  <c r="G179" i="1" a="1"/>
  <c r="G179" i="1" s="1"/>
  <c r="F179" i="1" a="1"/>
  <c r="F179" i="1" s="1"/>
  <c r="E179" i="1" a="1"/>
  <c r="E179" i="1" s="1"/>
  <c r="D179" i="1" a="1"/>
  <c r="D179" i="1" s="1"/>
  <c r="F35" i="1" a="1"/>
  <c r="F35" i="1" s="1"/>
  <c r="D35" i="1" a="1"/>
  <c r="D35" i="1" s="1"/>
  <c r="E35" i="1" a="1"/>
  <c r="E35" i="1" s="1"/>
  <c r="G35" i="1" a="1"/>
  <c r="G35" i="1" s="1"/>
  <c r="G130" i="1" a="1"/>
  <c r="G130" i="1" s="1"/>
  <c r="E130" i="1" a="1"/>
  <c r="E130" i="1" s="1"/>
  <c r="D130" i="1" a="1"/>
  <c r="D130" i="1" s="1"/>
  <c r="F130" i="1" a="1"/>
  <c r="F130" i="1" s="1"/>
  <c r="C221" i="1" a="1"/>
  <c r="C221" i="1" s="1"/>
  <c r="C5" i="1" a="1"/>
  <c r="C5" i="1" s="1"/>
  <c r="G93" i="1" a="1"/>
  <c r="G93" i="1" s="1"/>
  <c r="E93" i="1" a="1"/>
  <c r="E93" i="1" s="1"/>
  <c r="F93" i="1" a="1"/>
  <c r="F93" i="1" s="1"/>
  <c r="D93" i="1" a="1"/>
  <c r="D93" i="1" s="1"/>
  <c r="C193" i="1" a="1"/>
  <c r="C193" i="1" s="1"/>
  <c r="C85" i="1" a="1"/>
  <c r="C85" i="1" s="1"/>
  <c r="F104" i="1" a="1"/>
  <c r="F104" i="1" s="1"/>
  <c r="G104" i="1" a="1"/>
  <c r="G104" i="1" s="1"/>
  <c r="D104" i="1" a="1"/>
  <c r="D104" i="1" s="1"/>
  <c r="E104" i="1" a="1"/>
  <c r="E104" i="1" s="1"/>
  <c r="G29" i="1" a="1"/>
  <c r="G29" i="1" s="1"/>
  <c r="E29" i="1" a="1"/>
  <c r="E29" i="1" s="1"/>
  <c r="F29" i="1" a="1"/>
  <c r="F29" i="1" s="1"/>
  <c r="D29" i="1" a="1"/>
  <c r="D29" i="1" s="1"/>
  <c r="G231" i="1" a="1"/>
  <c r="G231" i="1" s="1"/>
  <c r="F231" i="1" a="1"/>
  <c r="F231" i="1" s="1"/>
  <c r="D231" i="1" a="1"/>
  <c r="D231" i="1" s="1"/>
  <c r="E231" i="1" a="1"/>
  <c r="E231" i="1" s="1"/>
  <c r="G230" i="1" a="1"/>
  <c r="G230" i="1" s="1"/>
  <c r="F230" i="1" a="1"/>
  <c r="F230" i="1" s="1"/>
  <c r="D230" i="1" a="1"/>
  <c r="D230" i="1" s="1"/>
  <c r="E230" i="1" a="1"/>
  <c r="E230" i="1" s="1"/>
  <c r="F40" i="1" a="1"/>
  <c r="F40" i="1" s="1"/>
  <c r="G40" i="1" a="1"/>
  <c r="G40" i="1" s="1"/>
  <c r="D40" i="1" a="1"/>
  <c r="D40" i="1" s="1"/>
  <c r="E40" i="1" a="1"/>
  <c r="E40" i="1" s="1"/>
  <c r="G132" i="1" a="1"/>
  <c r="G132" i="1" s="1"/>
  <c r="E132" i="1" a="1"/>
  <c r="E132" i="1" s="1"/>
  <c r="D132" i="1" a="1"/>
  <c r="D132" i="1" s="1"/>
  <c r="F132" i="1" a="1"/>
  <c r="F132" i="1" s="1"/>
  <c r="F34" i="1" a="1"/>
  <c r="F34" i="1" s="1"/>
  <c r="D34" i="1" a="1"/>
  <c r="D34" i="1" s="1"/>
  <c r="G34" i="1" a="1"/>
  <c r="G34" i="1" s="1"/>
  <c r="E34" i="1" a="1"/>
  <c r="E34" i="1" s="1"/>
  <c r="E206" i="1" a="1"/>
  <c r="E206" i="1" s="1"/>
  <c r="F206" i="1" a="1"/>
  <c r="F206" i="1" s="1"/>
  <c r="G206" i="1" a="1"/>
  <c r="G206" i="1" s="1"/>
  <c r="D206" i="1" a="1"/>
  <c r="D206" i="1" s="1"/>
  <c r="F26" i="1" a="1"/>
  <c r="F26" i="1" s="1"/>
  <c r="D26" i="1" a="1"/>
  <c r="D26" i="1" s="1"/>
  <c r="G26" i="1" a="1"/>
  <c r="G26" i="1" s="1"/>
  <c r="E26" i="1" a="1"/>
  <c r="E26" i="1" s="1"/>
  <c r="F113" i="1" a="1"/>
  <c r="F113" i="1" s="1"/>
  <c r="E113" i="1" a="1"/>
  <c r="E113" i="1" s="1"/>
  <c r="G113" i="1" a="1"/>
  <c r="G113" i="1" s="1"/>
  <c r="D113" i="1" a="1"/>
  <c r="D113" i="1" s="1"/>
  <c r="C208" i="1" a="1"/>
  <c r="C208" i="1" s="1"/>
  <c r="G71" i="1" a="1"/>
  <c r="G71" i="1" s="1"/>
  <c r="D71" i="1" a="1"/>
  <c r="D71" i="1" s="1"/>
  <c r="F71" i="1" a="1"/>
  <c r="F71" i="1" s="1"/>
  <c r="E71" i="1" a="1"/>
  <c r="E71" i="1" s="1"/>
  <c r="G183" i="1" a="1"/>
  <c r="G183" i="1" s="1"/>
  <c r="F183" i="1" a="1"/>
  <c r="F183" i="1" s="1"/>
  <c r="E183" i="1" a="1"/>
  <c r="E183" i="1" s="1"/>
  <c r="D183" i="1" a="1"/>
  <c r="D183" i="1" s="1"/>
  <c r="C215" i="1" a="1"/>
  <c r="C215" i="1" s="1"/>
  <c r="G92" i="1" a="1"/>
  <c r="G92" i="1" s="1"/>
  <c r="E92" i="1" a="1"/>
  <c r="E92" i="1" s="1"/>
  <c r="D92" i="1" a="1"/>
  <c r="D92" i="1" s="1"/>
  <c r="F92" i="1" a="1"/>
  <c r="F92" i="1" s="1"/>
  <c r="G88" i="1" a="1"/>
  <c r="G88" i="1" s="1"/>
  <c r="F88" i="1" a="1"/>
  <c r="F88" i="1" s="1"/>
  <c r="E88" i="1" a="1"/>
  <c r="E88" i="1" s="1"/>
  <c r="D88" i="1" a="1"/>
  <c r="D88" i="1" s="1"/>
  <c r="C116" i="1" a="1"/>
  <c r="C116" i="1" s="1"/>
  <c r="G223" i="1" a="1"/>
  <c r="G223" i="1" s="1"/>
  <c r="E223" i="1" a="1"/>
  <c r="E223" i="1" s="1"/>
  <c r="F223" i="1" a="1"/>
  <c r="F223" i="1" s="1"/>
  <c r="D223" i="1" a="1"/>
  <c r="D223" i="1" s="1"/>
  <c r="G211" i="1" a="1"/>
  <c r="G211" i="1" s="1"/>
  <c r="F211" i="1" a="1"/>
  <c r="F211" i="1" s="1"/>
  <c r="E211" i="1" a="1"/>
  <c r="E211" i="1" s="1"/>
  <c r="D211" i="1" a="1"/>
  <c r="D211" i="1" s="1"/>
  <c r="G194" i="1" a="1"/>
  <c r="G194" i="1" s="1"/>
  <c r="D194" i="1" a="1"/>
  <c r="D194" i="1" s="1"/>
  <c r="F194" i="1" a="1"/>
  <c r="F194" i="1" s="1"/>
  <c r="E194" i="1" a="1"/>
  <c r="E194" i="1" s="1"/>
  <c r="G103" i="1" a="1"/>
  <c r="G103" i="1" s="1"/>
  <c r="D103" i="1" a="1"/>
  <c r="D103" i="1" s="1"/>
  <c r="F103" i="1" a="1"/>
  <c r="F103" i="1" s="1"/>
  <c r="E103" i="1" a="1"/>
  <c r="E103" i="1" s="1"/>
  <c r="G100" i="1" a="1"/>
  <c r="G100" i="1" s="1"/>
  <c r="D100" i="1" a="1"/>
  <c r="D100" i="1" s="1"/>
  <c r="F100" i="1" a="1"/>
  <c r="F100" i="1" s="1"/>
  <c r="E100" i="1" a="1"/>
  <c r="E100" i="1" s="1"/>
  <c r="C18" i="1" a="1"/>
  <c r="C18" i="1" s="1"/>
  <c r="C71" i="1" a="1"/>
  <c r="C71" i="1" s="1"/>
  <c r="G102" i="1" a="1"/>
  <c r="G102" i="1" s="1"/>
  <c r="E102" i="1" a="1"/>
  <c r="E102" i="1" s="1"/>
  <c r="F102" i="1" a="1"/>
  <c r="F102" i="1" s="1"/>
  <c r="D102" i="1" a="1"/>
  <c r="D102" i="1" s="1"/>
  <c r="C200" i="1" a="1"/>
  <c r="C200" i="1" s="1"/>
  <c r="C92" i="1" a="1"/>
  <c r="C92" i="1" s="1"/>
  <c r="G209" i="1" a="1"/>
  <c r="G209" i="1" s="1"/>
  <c r="F209" i="1" a="1"/>
  <c r="F209" i="1" s="1"/>
  <c r="E209" i="1" a="1"/>
  <c r="E209" i="1" s="1"/>
  <c r="D209" i="1" a="1"/>
  <c r="D209" i="1" s="1"/>
  <c r="G65" i="1" a="1"/>
  <c r="G65" i="1" s="1"/>
  <c r="F65" i="1" a="1"/>
  <c r="F65" i="1" s="1"/>
  <c r="D65" i="1" a="1"/>
  <c r="D65" i="1" s="1"/>
  <c r="E65" i="1" a="1"/>
  <c r="E65" i="1" s="1"/>
  <c r="G121" i="1" a="1"/>
  <c r="G121" i="1" s="1"/>
  <c r="D121" i="1" a="1"/>
  <c r="D121" i="1" s="1"/>
  <c r="E121" i="1" a="1"/>
  <c r="E121" i="1" s="1"/>
  <c r="F121" i="1" a="1"/>
  <c r="F121" i="1" s="1"/>
  <c r="C205" i="1" a="1"/>
  <c r="C205" i="1" s="1"/>
  <c r="G216" i="1" a="1"/>
  <c r="G216" i="1" s="1"/>
  <c r="E216" i="1" a="1"/>
  <c r="E216" i="1" s="1"/>
  <c r="F216" i="1" a="1"/>
  <c r="F216" i="1" s="1"/>
  <c r="D216" i="1" a="1"/>
  <c r="D216" i="1" s="1"/>
  <c r="F72" i="1" a="1"/>
  <c r="F72" i="1" s="1"/>
  <c r="D72" i="1" a="1"/>
  <c r="D72" i="1" s="1"/>
  <c r="G72" i="1" a="1"/>
  <c r="G72" i="1" s="1"/>
  <c r="E72" i="1" a="1"/>
  <c r="E72" i="1" s="1"/>
  <c r="C123" i="1" a="1"/>
  <c r="C123" i="1" s="1"/>
  <c r="G167" i="1" a="1"/>
  <c r="G167" i="1" s="1"/>
  <c r="F167" i="1" a="1"/>
  <c r="F167" i="1" s="1"/>
  <c r="D167" i="1" a="1"/>
  <c r="D167" i="1" s="1"/>
  <c r="E167" i="1" a="1"/>
  <c r="E167" i="1" s="1"/>
  <c r="G23" i="1" a="1"/>
  <c r="G23" i="1" s="1"/>
  <c r="F23" i="1" a="1"/>
  <c r="F23" i="1" s="1"/>
  <c r="E23" i="1" a="1"/>
  <c r="E23" i="1" s="1"/>
  <c r="D23" i="1" a="1"/>
  <c r="D23" i="1" s="1"/>
  <c r="C42" i="1" a="1"/>
  <c r="C42" i="1" s="1"/>
  <c r="G118" i="1" a="1"/>
  <c r="G118" i="1" s="1"/>
  <c r="F118" i="1" a="1"/>
  <c r="F118" i="1" s="1"/>
  <c r="E118" i="1" a="1"/>
  <c r="E118" i="1" s="1"/>
  <c r="D118" i="1" a="1"/>
  <c r="D118" i="1" s="1"/>
  <c r="C104" i="1" a="1"/>
  <c r="C104" i="1" s="1"/>
  <c r="G225" i="1" a="1"/>
  <c r="G225" i="1" s="1"/>
  <c r="F225" i="1" a="1"/>
  <c r="F225" i="1" s="1"/>
  <c r="E225" i="1" a="1"/>
  <c r="E225" i="1" s="1"/>
  <c r="D225" i="1" a="1"/>
  <c r="D225" i="1" s="1"/>
  <c r="G81" i="1" a="1"/>
  <c r="G81" i="1" s="1"/>
  <c r="E81" i="1" a="1"/>
  <c r="E81" i="1" s="1"/>
  <c r="F81" i="1" a="1"/>
  <c r="F81" i="1" s="1"/>
  <c r="D81" i="1" a="1"/>
  <c r="D81" i="1" s="1"/>
  <c r="C76" i="1" a="1"/>
  <c r="C76" i="1" s="1"/>
  <c r="C21" i="1" a="1"/>
  <c r="C21" i="1" s="1"/>
  <c r="G3" i="1" a="1"/>
  <c r="G3" i="1" s="1"/>
  <c r="F3" i="1" a="1"/>
  <c r="F3" i="1" s="1"/>
  <c r="D3" i="1" a="1"/>
  <c r="D3" i="1" s="1"/>
  <c r="E3" i="1" a="1"/>
  <c r="E3" i="1" s="1"/>
  <c r="G210" i="1" a="1"/>
  <c r="G210" i="1" s="1"/>
  <c r="F210" i="1" a="1"/>
  <c r="F210" i="1" s="1"/>
  <c r="D210" i="1" a="1"/>
  <c r="D210" i="1" s="1"/>
  <c r="E210" i="1" a="1"/>
  <c r="E210" i="1" s="1"/>
  <c r="G131" i="1" a="1"/>
  <c r="G131" i="1" s="1"/>
  <c r="D131" i="1" a="1"/>
  <c r="D131" i="1" s="1"/>
  <c r="F131" i="1" a="1"/>
  <c r="F131" i="1" s="1"/>
  <c r="E131" i="1" a="1"/>
  <c r="E131" i="1" s="1"/>
  <c r="G45" i="1" a="1"/>
  <c r="G45" i="1" s="1"/>
  <c r="F45" i="1" a="1"/>
  <c r="F45" i="1" s="1"/>
  <c r="E45" i="1" a="1"/>
  <c r="E45" i="1" s="1"/>
  <c r="D45" i="1" a="1"/>
  <c r="D45" i="1" s="1"/>
  <c r="G54" i="1" a="1"/>
  <c r="G54" i="1" s="1"/>
  <c r="F54" i="1" a="1"/>
  <c r="F54" i="1" s="1"/>
  <c r="E54" i="1" a="1"/>
  <c r="E54" i="1" s="1"/>
  <c r="D54" i="1" a="1"/>
  <c r="D54" i="1" s="1"/>
  <c r="G52" i="1" a="1"/>
  <c r="G52" i="1" s="1"/>
  <c r="D52" i="1" a="1"/>
  <c r="D52" i="1" s="1"/>
  <c r="F52" i="1" a="1"/>
  <c r="F52" i="1" s="1"/>
  <c r="E52" i="1" a="1"/>
  <c r="E52" i="1" s="1"/>
  <c r="G87" i="1" a="1"/>
  <c r="G87" i="1" s="1"/>
  <c r="F87" i="1" a="1"/>
  <c r="F87" i="1" s="1"/>
  <c r="D87" i="1" a="1"/>
  <c r="D87" i="1" s="1"/>
  <c r="E87" i="1" a="1"/>
  <c r="E87" i="1" s="1"/>
  <c r="G125" i="1" a="1"/>
  <c r="G125" i="1" s="1"/>
  <c r="F125" i="1" a="1"/>
  <c r="F125" i="1" s="1"/>
  <c r="E125" i="1" a="1"/>
  <c r="E125" i="1" s="1"/>
  <c r="D125" i="1" a="1"/>
  <c r="D125" i="1" s="1"/>
  <c r="C229" i="1" a="1"/>
  <c r="C229" i="1" s="1"/>
  <c r="G91" i="1" a="1"/>
  <c r="G91" i="1" s="1"/>
  <c r="F91" i="1" a="1"/>
  <c r="F91" i="1" s="1"/>
  <c r="D91" i="1" a="1"/>
  <c r="D91" i="1" s="1"/>
  <c r="E91" i="1" a="1"/>
  <c r="E91" i="1" s="1"/>
  <c r="G218" i="1" a="1"/>
  <c r="G218" i="1" s="1"/>
  <c r="F218" i="1" a="1"/>
  <c r="F218" i="1" s="1"/>
  <c r="E218" i="1" a="1"/>
  <c r="E218" i="1" s="1"/>
  <c r="D218" i="1" a="1"/>
  <c r="D218" i="1" s="1"/>
  <c r="G39" i="1" a="1"/>
  <c r="G39" i="1" s="1"/>
  <c r="E39" i="1" a="1"/>
  <c r="E39" i="1" s="1"/>
  <c r="F39" i="1" a="1"/>
  <c r="F39" i="1" s="1"/>
  <c r="D39" i="1" a="1"/>
  <c r="D39" i="1" s="1"/>
  <c r="G224" i="1" a="1"/>
  <c r="G224" i="1" s="1"/>
  <c r="E224" i="1" a="1"/>
  <c r="E224" i="1" s="1"/>
  <c r="F224" i="1" a="1"/>
  <c r="F224" i="1" s="1"/>
  <c r="D224" i="1" a="1"/>
  <c r="D224" i="1" s="1"/>
  <c r="F195" i="1" a="1"/>
  <c r="F195" i="1" s="1"/>
  <c r="D195" i="1" a="1"/>
  <c r="D195" i="1" s="1"/>
  <c r="G195" i="1" a="1"/>
  <c r="G195" i="1" s="1"/>
  <c r="E195" i="1" a="1"/>
  <c r="E195" i="1" s="1"/>
  <c r="G67" i="1" a="1"/>
  <c r="G67" i="1" s="1"/>
  <c r="F67" i="1" a="1"/>
  <c r="F67" i="1" s="1"/>
  <c r="E67" i="1" a="1"/>
  <c r="E67" i="1" s="1"/>
  <c r="D67" i="1" a="1"/>
  <c r="D67" i="1" s="1"/>
  <c r="G163" i="1" a="1"/>
  <c r="G163" i="1" s="1"/>
  <c r="F163" i="1" a="1"/>
  <c r="F163" i="1" s="1"/>
  <c r="E163" i="1" a="1"/>
  <c r="E163" i="1" s="1"/>
  <c r="D163" i="1" a="1"/>
  <c r="D163" i="1" s="1"/>
  <c r="G98" i="1" a="1"/>
  <c r="G98" i="1" s="1"/>
  <c r="D98" i="1" a="1"/>
  <c r="D98" i="1" s="1"/>
  <c r="F98" i="1" a="1"/>
  <c r="F98" i="1" s="1"/>
  <c r="E98" i="1" a="1"/>
  <c r="E98" i="1" s="1"/>
  <c r="G75" i="1" a="1"/>
  <c r="G75" i="1" s="1"/>
  <c r="F75" i="1" a="1"/>
  <c r="F75" i="1" s="1"/>
  <c r="D75" i="1" a="1"/>
  <c r="D75" i="1" s="1"/>
  <c r="E75" i="1" a="1"/>
  <c r="E75" i="1" s="1"/>
  <c r="G74" i="1" a="1"/>
  <c r="G74" i="1" s="1"/>
  <c r="F74" i="1" a="1"/>
  <c r="F74" i="1" s="1"/>
  <c r="D74" i="1" a="1"/>
  <c r="D74" i="1" s="1"/>
  <c r="E74" i="1" a="1"/>
  <c r="E74" i="1" s="1"/>
  <c r="G212" i="1" a="1"/>
  <c r="G212" i="1" s="1"/>
  <c r="D212" i="1" a="1"/>
  <c r="D212" i="1" s="1"/>
  <c r="E212" i="1" a="1"/>
  <c r="E212" i="1" s="1"/>
  <c r="F212" i="1" a="1"/>
  <c r="F212" i="1" s="1"/>
  <c r="G90" i="1" a="1"/>
  <c r="G90" i="1" s="1"/>
  <c r="D90" i="1" a="1"/>
  <c r="D90" i="1" s="1"/>
  <c r="E90" i="1" a="1"/>
  <c r="E90" i="1" s="1"/>
  <c r="F90" i="1" a="1"/>
  <c r="F90" i="1" s="1"/>
  <c r="C83" i="1" a="1"/>
  <c r="C83" i="1" s="1"/>
  <c r="G197" i="1" a="1"/>
  <c r="G197" i="1" s="1"/>
  <c r="F197" i="1" a="1"/>
  <c r="F197" i="1" s="1"/>
  <c r="E197" i="1" a="1"/>
  <c r="E197" i="1" s="1"/>
  <c r="D197" i="1" a="1"/>
  <c r="D197" i="1" s="1"/>
  <c r="G53" i="1" a="1"/>
  <c r="G53" i="1" s="1"/>
  <c r="E53" i="1" a="1"/>
  <c r="E53" i="1" s="1"/>
  <c r="F53" i="1" a="1"/>
  <c r="F53" i="1" s="1"/>
  <c r="D53" i="1" a="1"/>
  <c r="D53" i="1" s="1"/>
  <c r="C163" i="1" a="1"/>
  <c r="C163" i="1" s="1"/>
  <c r="C55" i="1" a="1"/>
  <c r="C55" i="1" s="1"/>
  <c r="G109" i="1" a="1"/>
  <c r="G109" i="1" s="1"/>
  <c r="E109" i="1" a="1"/>
  <c r="E109" i="1" s="1"/>
  <c r="F109" i="1" a="1"/>
  <c r="F109" i="1" s="1"/>
  <c r="D109" i="1" a="1"/>
  <c r="D109" i="1" s="1"/>
  <c r="C88" i="1" a="1"/>
  <c r="C88" i="1" s="1"/>
  <c r="G204" i="1" a="1"/>
  <c r="G204" i="1" s="1"/>
  <c r="E204" i="1" a="1"/>
  <c r="E204" i="1" s="1"/>
  <c r="F204" i="1" a="1"/>
  <c r="F204" i="1" s="1"/>
  <c r="D204" i="1" a="1"/>
  <c r="D204" i="1" s="1"/>
  <c r="G60" i="1" a="1"/>
  <c r="G60" i="1" s="1"/>
  <c r="E60" i="1" a="1"/>
  <c r="E60" i="1" s="1"/>
  <c r="D60" i="1" a="1"/>
  <c r="D60" i="1" s="1"/>
  <c r="F60" i="1" a="1"/>
  <c r="F60" i="1" s="1"/>
  <c r="E155" i="1" a="1"/>
  <c r="E155" i="1" s="1"/>
  <c r="D155" i="1" a="1"/>
  <c r="D155" i="1" s="1"/>
  <c r="F155" i="1" a="1"/>
  <c r="F155" i="1" s="1"/>
  <c r="G155" i="1" a="1"/>
  <c r="G155" i="1" s="1"/>
  <c r="G11" i="1" a="1"/>
  <c r="G11" i="1" s="1"/>
  <c r="F11" i="1" a="1"/>
  <c r="F11" i="1" s="1"/>
  <c r="D11" i="1" a="1"/>
  <c r="D11" i="1" s="1"/>
  <c r="E11" i="1" a="1"/>
  <c r="E11" i="1" s="1"/>
  <c r="C24" i="1" a="1"/>
  <c r="C24" i="1" s="1"/>
  <c r="G106" i="1" a="1"/>
  <c r="G106" i="1" s="1"/>
  <c r="F106" i="1" a="1"/>
  <c r="F106" i="1" s="1"/>
  <c r="E106" i="1" a="1"/>
  <c r="E106" i="1" s="1"/>
  <c r="D106" i="1" a="1"/>
  <c r="D106" i="1" s="1"/>
  <c r="C203" i="1" a="1"/>
  <c r="C203" i="1" s="1"/>
  <c r="C95" i="1" a="1"/>
  <c r="C95" i="1" s="1"/>
  <c r="G213" i="1" a="1"/>
  <c r="G213" i="1" s="1"/>
  <c r="D213" i="1" a="1"/>
  <c r="D213" i="1" s="1"/>
  <c r="E213" i="1" a="1"/>
  <c r="E213" i="1" s="1"/>
  <c r="F213" i="1" a="1"/>
  <c r="F213" i="1" s="1"/>
  <c r="G69" i="1" a="1"/>
  <c r="G69" i="1" s="1"/>
  <c r="E69" i="1" a="1"/>
  <c r="E69" i="1" s="1"/>
  <c r="D69" i="1" a="1"/>
  <c r="D69" i="1" s="1"/>
  <c r="F69" i="1" a="1"/>
  <c r="F69" i="1" s="1"/>
  <c r="C175" i="1" a="1"/>
  <c r="C175" i="1" s="1"/>
  <c r="C67" i="1" a="1"/>
  <c r="C67" i="1" s="1"/>
  <c r="C4" i="1" a="1"/>
  <c r="C4" i="1" s="1"/>
  <c r="F82" i="1" a="1"/>
  <c r="F82" i="1" s="1"/>
  <c r="E82" i="1" a="1"/>
  <c r="E82" i="1" s="1"/>
  <c r="G82" i="1" a="1"/>
  <c r="G82" i="1" s="1"/>
  <c r="D82" i="1" a="1"/>
  <c r="D82" i="1" s="1"/>
  <c r="G152" i="1" a="1"/>
  <c r="G152" i="1" s="1"/>
  <c r="E152" i="1" a="1"/>
  <c r="E152" i="1" s="1"/>
  <c r="F152" i="1" a="1"/>
  <c r="F152" i="1" s="1"/>
  <c r="D152" i="1" a="1"/>
  <c r="D152" i="1" s="1"/>
  <c r="G115" i="1" a="1"/>
  <c r="G115" i="1" s="1"/>
  <c r="F115" i="1" a="1"/>
  <c r="F115" i="1" s="1"/>
  <c r="E115" i="1" a="1"/>
  <c r="E115" i="1" s="1"/>
  <c r="D115" i="1" a="1"/>
  <c r="D115" i="1" s="1"/>
  <c r="G37" i="1" a="1"/>
  <c r="G37" i="1" s="1"/>
  <c r="F37" i="1" a="1"/>
  <c r="F37" i="1" s="1"/>
  <c r="D37" i="1" a="1"/>
  <c r="D37" i="1" s="1"/>
  <c r="E37" i="1" a="1"/>
  <c r="E37" i="1" s="1"/>
  <c r="G141" i="1" a="1"/>
  <c r="G141" i="1" s="1"/>
  <c r="D141" i="1" a="1"/>
  <c r="D141" i="1" s="1"/>
  <c r="F141" i="1" a="1"/>
  <c r="F141" i="1" s="1"/>
  <c r="E141" i="1" a="1"/>
  <c r="E141" i="1" s="1"/>
  <c r="G171" i="1" a="1"/>
  <c r="G171" i="1" s="1"/>
  <c r="F171" i="1" a="1"/>
  <c r="F171" i="1" s="1"/>
  <c r="E171" i="1" a="1"/>
  <c r="E171" i="1" s="1"/>
  <c r="D171" i="1" a="1"/>
  <c r="D171" i="1" s="1"/>
  <c r="G27" i="1" a="1"/>
  <c r="G27" i="1" s="1"/>
  <c r="D27" i="1" a="1"/>
  <c r="D27" i="1" s="1"/>
  <c r="F27" i="1" a="1"/>
  <c r="F27" i="1" s="1"/>
  <c r="E27" i="1" a="1"/>
  <c r="E27" i="1" s="1"/>
  <c r="C161" i="1" a="1"/>
  <c r="C161" i="1" s="1"/>
  <c r="G64" i="1" a="1"/>
  <c r="G64" i="1" s="1"/>
  <c r="F64" i="1" a="1"/>
  <c r="F64" i="1" s="1"/>
  <c r="E64" i="1" a="1"/>
  <c r="E64" i="1" s="1"/>
  <c r="D64" i="1" a="1"/>
  <c r="D64" i="1" s="1"/>
  <c r="G62" i="1" a="1"/>
  <c r="G62" i="1" s="1"/>
  <c r="E62" i="1" a="1"/>
  <c r="E62" i="1" s="1"/>
  <c r="F62" i="1" a="1"/>
  <c r="F62" i="1" s="1"/>
  <c r="D62" i="1" a="1"/>
  <c r="D62" i="1" s="1"/>
  <c r="G38" i="1" a="1"/>
  <c r="G38" i="1" s="1"/>
  <c r="E38" i="1" a="1"/>
  <c r="E38" i="1" s="1"/>
  <c r="F38" i="1" a="1"/>
  <c r="F38" i="1" s="1"/>
  <c r="D38" i="1" a="1"/>
  <c r="D38" i="1" s="1"/>
  <c r="E31" i="1" a="1"/>
  <c r="E31" i="1" s="1"/>
  <c r="G31" i="1" a="1"/>
  <c r="G31" i="1" s="1"/>
  <c r="D31" i="1" a="1"/>
  <c r="D31" i="1" s="1"/>
  <c r="F31" i="1" a="1"/>
  <c r="F31" i="1" s="1"/>
  <c r="E196" i="1" a="1"/>
  <c r="E196" i="1" s="1"/>
  <c r="F196" i="1" a="1"/>
  <c r="F196" i="1" s="1"/>
  <c r="G196" i="1" a="1"/>
  <c r="G196" i="1" s="1"/>
  <c r="D196" i="1" a="1"/>
  <c r="D196" i="1" s="1"/>
  <c r="G164" i="1" a="1"/>
  <c r="G164" i="1" s="1"/>
  <c r="E164" i="1" a="1"/>
  <c r="E164" i="1" s="1"/>
  <c r="F164" i="1" a="1"/>
  <c r="F164" i="1" s="1"/>
  <c r="D164" i="1" a="1"/>
  <c r="D164" i="1" s="1"/>
  <c r="F8" i="1" a="1"/>
  <c r="F8" i="1" s="1"/>
  <c r="E8" i="1" a="1"/>
  <c r="E8" i="1" s="1"/>
  <c r="G8" i="1" a="1"/>
  <c r="G8" i="1" s="1"/>
  <c r="D8" i="1" a="1"/>
  <c r="D8" i="1" s="1"/>
  <c r="G135" i="1" a="1"/>
  <c r="G135" i="1" s="1"/>
  <c r="F135" i="1" a="1"/>
  <c r="F135" i="1" s="1"/>
  <c r="D135" i="1" a="1"/>
  <c r="D135" i="1" s="1"/>
  <c r="E135" i="1" a="1"/>
  <c r="E135" i="1" s="1"/>
  <c r="G172" i="1" a="1"/>
  <c r="G172" i="1" s="1"/>
  <c r="F172" i="1" a="1"/>
  <c r="F172" i="1" s="1"/>
  <c r="E172" i="1" a="1"/>
  <c r="E172" i="1" s="1"/>
  <c r="D172" i="1" a="1"/>
  <c r="D172" i="1" s="1"/>
  <c r="E44" i="1" a="1"/>
  <c r="E44" i="1" s="1"/>
  <c r="D44" i="1" a="1"/>
  <c r="D44" i="1" s="1"/>
  <c r="G44" i="1" a="1"/>
  <c r="G44" i="1" s="1"/>
  <c r="F44" i="1" a="1"/>
  <c r="F44" i="1" s="1"/>
  <c r="E43" i="1" a="1"/>
  <c r="E43" i="1" s="1"/>
  <c r="F43" i="1" a="1"/>
  <c r="F43" i="1" s="1"/>
  <c r="D43" i="1" a="1"/>
  <c r="D43" i="1" s="1"/>
  <c r="G43" i="1" a="1"/>
  <c r="G43" i="1" s="1"/>
  <c r="G184" i="1" a="1"/>
  <c r="G184" i="1" s="1"/>
  <c r="E184" i="1" a="1"/>
  <c r="E184" i="1" s="1"/>
  <c r="F184" i="1" a="1"/>
  <c r="F184" i="1" s="1"/>
  <c r="D184" i="1" a="1"/>
  <c r="D184" i="1" s="1"/>
  <c r="G222" i="1" a="1"/>
  <c r="G222" i="1" s="1"/>
  <c r="E222" i="1" a="1"/>
  <c r="E222" i="1" s="1"/>
  <c r="F222" i="1" a="1"/>
  <c r="F222" i="1" s="1"/>
  <c r="D222" i="1" a="1"/>
  <c r="D222" i="1" s="1"/>
  <c r="G78" i="1" a="1"/>
  <c r="G78" i="1" s="1"/>
  <c r="E78" i="1" a="1"/>
  <c r="E78" i="1" s="1"/>
  <c r="F78" i="1" a="1"/>
  <c r="F78" i="1" s="1"/>
  <c r="D78" i="1" a="1"/>
  <c r="D78" i="1" s="1"/>
  <c r="C182" i="1" a="1"/>
  <c r="C182" i="1" s="1"/>
  <c r="C74" i="1" a="1"/>
  <c r="C74" i="1" s="1"/>
  <c r="G185" i="1" a="1"/>
  <c r="G185" i="1" s="1"/>
  <c r="F185" i="1" a="1"/>
  <c r="F185" i="1" s="1"/>
  <c r="D185" i="1" a="1"/>
  <c r="D185" i="1" s="1"/>
  <c r="E185" i="1" a="1"/>
  <c r="E185" i="1" s="1"/>
  <c r="G41" i="1" a="1"/>
  <c r="G41" i="1" s="1"/>
  <c r="E41" i="1" a="1"/>
  <c r="E41" i="1" s="1"/>
  <c r="F41" i="1" a="1"/>
  <c r="F41" i="1" s="1"/>
  <c r="D41" i="1" a="1"/>
  <c r="D41" i="1" s="1"/>
  <c r="G97" i="1" a="1"/>
  <c r="G97" i="1" s="1"/>
  <c r="F97" i="1" a="1"/>
  <c r="F97" i="1" s="1"/>
  <c r="D97" i="1" a="1"/>
  <c r="D97" i="1" s="1"/>
  <c r="E97" i="1" a="1"/>
  <c r="E97" i="1" s="1"/>
  <c r="C187" i="1" a="1"/>
  <c r="C187" i="1" s="1"/>
  <c r="C79" i="1" a="1"/>
  <c r="C79" i="1" s="1"/>
  <c r="G192" i="1" a="1"/>
  <c r="G192" i="1" s="1"/>
  <c r="D192" i="1" a="1"/>
  <c r="D192" i="1" s="1"/>
  <c r="F192" i="1" a="1"/>
  <c r="F192" i="1" s="1"/>
  <c r="E192" i="1" a="1"/>
  <c r="E192" i="1" s="1"/>
  <c r="G48" i="1" a="1"/>
  <c r="G48" i="1" s="1"/>
  <c r="F48" i="1" a="1"/>
  <c r="F48" i="1" s="1"/>
  <c r="D48" i="1" a="1"/>
  <c r="D48" i="1" s="1"/>
  <c r="E48" i="1" a="1"/>
  <c r="E48" i="1" s="1"/>
  <c r="C87" i="1" a="1"/>
  <c r="C87" i="1" s="1"/>
  <c r="G143" i="1" a="1"/>
  <c r="G143" i="1" s="1"/>
  <c r="E143" i="1" a="1"/>
  <c r="E143" i="1" s="1"/>
  <c r="F143" i="1" a="1"/>
  <c r="F143" i="1" s="1"/>
  <c r="D143" i="1" a="1"/>
  <c r="D143" i="1" s="1"/>
  <c r="C222" i="1" a="1"/>
  <c r="C222" i="1" s="1"/>
  <c r="C6" i="1" a="1"/>
  <c r="C6" i="1" s="1"/>
  <c r="G94" i="1" a="1"/>
  <c r="G94" i="1" s="1"/>
  <c r="F94" i="1" a="1"/>
  <c r="F94" i="1" s="1"/>
  <c r="E94" i="1" a="1"/>
  <c r="E94" i="1" s="1"/>
  <c r="D94" i="1" a="1"/>
  <c r="D94" i="1" s="1"/>
  <c r="C194" i="1" a="1"/>
  <c r="C194" i="1" s="1"/>
  <c r="C86" i="1" a="1"/>
  <c r="C86" i="1" s="1"/>
  <c r="G201" i="1" a="1"/>
  <c r="G201" i="1" s="1"/>
  <c r="F201" i="1" a="1"/>
  <c r="F201" i="1" s="1"/>
  <c r="E201" i="1" a="1"/>
  <c r="E201" i="1" s="1"/>
  <c r="D201" i="1" a="1"/>
  <c r="D201" i="1" s="1"/>
  <c r="G57" i="1" a="1"/>
  <c r="G57" i="1" s="1"/>
  <c r="F57" i="1" a="1"/>
  <c r="F57" i="1" s="1"/>
  <c r="E57" i="1" a="1"/>
  <c r="E57" i="1" s="1"/>
  <c r="D57" i="1" a="1"/>
  <c r="D57" i="1" s="1"/>
  <c r="C166" i="1" a="1"/>
  <c r="C166" i="1" s="1"/>
  <c r="C58" i="1" a="1"/>
  <c r="C58" i="1" s="1"/>
  <c r="B2" i="1"/>
  <c r="C2" i="1" s="1" a="1"/>
  <c r="C2" i="1" s="1"/>
  <c r="J49" i="1" l="1"/>
  <c r="I49" i="1"/>
  <c r="K49" i="1" s="1"/>
  <c r="J53" i="1"/>
  <c r="I53" i="1"/>
  <c r="J114" i="1"/>
  <c r="I114" i="1"/>
  <c r="I47" i="1"/>
  <c r="J47" i="1"/>
  <c r="J138" i="1"/>
  <c r="I138" i="1"/>
  <c r="J30" i="1"/>
  <c r="I30" i="1"/>
  <c r="K30" i="1" s="1"/>
  <c r="J19" i="1"/>
  <c r="I19" i="1"/>
  <c r="K19" i="1" s="1"/>
  <c r="J199" i="1"/>
  <c r="I199" i="1"/>
  <c r="J148" i="1"/>
  <c r="I148" i="1"/>
  <c r="I24" i="1"/>
  <c r="J24" i="1"/>
  <c r="J201" i="1"/>
  <c r="I201" i="1"/>
  <c r="I143" i="1"/>
  <c r="J143" i="1"/>
  <c r="J82" i="1"/>
  <c r="I82" i="1"/>
  <c r="K82" i="1" s="1"/>
  <c r="I11" i="1"/>
  <c r="K11" i="1" s="1"/>
  <c r="J11" i="1"/>
  <c r="J204" i="1"/>
  <c r="I204" i="1"/>
  <c r="I212" i="1"/>
  <c r="J212" i="1"/>
  <c r="J98" i="1"/>
  <c r="I98" i="1"/>
  <c r="J218" i="1"/>
  <c r="I218" i="1"/>
  <c r="K218" i="1" s="1"/>
  <c r="I92" i="1"/>
  <c r="J92" i="1"/>
  <c r="J113" i="1"/>
  <c r="I113" i="1"/>
  <c r="J34" i="1"/>
  <c r="I34" i="1"/>
  <c r="J145" i="1"/>
  <c r="I145" i="1"/>
  <c r="I32" i="1"/>
  <c r="K32" i="1" s="1"/>
  <c r="J32" i="1"/>
  <c r="I83" i="1"/>
  <c r="J83" i="1"/>
  <c r="J112" i="1"/>
  <c r="I112" i="1"/>
  <c r="K112" i="1" s="1"/>
  <c r="J129" i="1"/>
  <c r="I129" i="1"/>
  <c r="J127" i="1"/>
  <c r="I127" i="1"/>
  <c r="J15" i="1"/>
  <c r="I15" i="1"/>
  <c r="J165" i="1"/>
  <c r="I165" i="1"/>
  <c r="J79" i="1"/>
  <c r="I79" i="1"/>
  <c r="K79" i="1" s="1"/>
  <c r="I176" i="1"/>
  <c r="J176" i="1"/>
  <c r="J161" i="1"/>
  <c r="I161" i="1"/>
  <c r="I152" i="1"/>
  <c r="J152" i="1"/>
  <c r="J221" i="1"/>
  <c r="I221" i="1"/>
  <c r="J225" i="1"/>
  <c r="I225" i="1"/>
  <c r="J38" i="1"/>
  <c r="I38" i="1"/>
  <c r="K38" i="1" s="1"/>
  <c r="J213" i="1"/>
  <c r="I213" i="1"/>
  <c r="K213" i="1" s="1"/>
  <c r="I155" i="1"/>
  <c r="K155" i="1" s="1"/>
  <c r="J155" i="1"/>
  <c r="J87" i="1"/>
  <c r="I87" i="1"/>
  <c r="J45" i="1"/>
  <c r="I45" i="1"/>
  <c r="J3" i="1"/>
  <c r="I3" i="1"/>
  <c r="I167" i="1"/>
  <c r="J167" i="1"/>
  <c r="I104" i="1"/>
  <c r="J104" i="1"/>
  <c r="I116" i="1"/>
  <c r="K116" i="1" s="1"/>
  <c r="J116" i="1"/>
  <c r="J166" i="1"/>
  <c r="I166" i="1"/>
  <c r="J219" i="1"/>
  <c r="I219" i="1"/>
  <c r="J105" i="1"/>
  <c r="I105" i="1"/>
  <c r="I120" i="1"/>
  <c r="J120" i="1"/>
  <c r="J122" i="1"/>
  <c r="I122" i="1"/>
  <c r="K122" i="1" s="1"/>
  <c r="J158" i="1"/>
  <c r="I158" i="1"/>
  <c r="J14" i="1"/>
  <c r="I14" i="1"/>
  <c r="J86" i="1"/>
  <c r="I86" i="1"/>
  <c r="J173" i="1"/>
  <c r="I173" i="1"/>
  <c r="J153" i="1"/>
  <c r="I153" i="1"/>
  <c r="K153" i="1" s="1"/>
  <c r="J73" i="1"/>
  <c r="I73" i="1"/>
  <c r="K73" i="1" s="1"/>
  <c r="I107" i="1"/>
  <c r="K107" i="1" s="1"/>
  <c r="J107" i="1"/>
  <c r="I119" i="1"/>
  <c r="K119" i="1" s="1"/>
  <c r="J119" i="1"/>
  <c r="I180" i="1"/>
  <c r="J180" i="1"/>
  <c r="J43" i="1"/>
  <c r="I43" i="1"/>
  <c r="J27" i="1"/>
  <c r="I27" i="1"/>
  <c r="K27" i="1" s="1"/>
  <c r="J37" i="1"/>
  <c r="I37" i="1"/>
  <c r="K37" i="1" s="1"/>
  <c r="J230" i="1"/>
  <c r="I230" i="1"/>
  <c r="J130" i="1"/>
  <c r="I130" i="1"/>
  <c r="I84" i="1"/>
  <c r="J84" i="1"/>
  <c r="J20" i="1"/>
  <c r="I20" i="1"/>
  <c r="J159" i="1"/>
  <c r="I159" i="1"/>
  <c r="K159" i="1" s="1"/>
  <c r="I108" i="1"/>
  <c r="J108" i="1"/>
  <c r="I95" i="1"/>
  <c r="K95" i="1" s="1"/>
  <c r="J95" i="1"/>
  <c r="J61" i="1"/>
  <c r="I61" i="1"/>
  <c r="J149" i="1"/>
  <c r="I149" i="1"/>
  <c r="J99" i="1"/>
  <c r="I99" i="1"/>
  <c r="J216" i="1"/>
  <c r="I216" i="1"/>
  <c r="K216" i="1" s="1"/>
  <c r="J29" i="1"/>
  <c r="I29" i="1"/>
  <c r="K29" i="1" s="1"/>
  <c r="J5" i="1"/>
  <c r="I5" i="1"/>
  <c r="J185" i="1"/>
  <c r="I185" i="1"/>
  <c r="J211" i="1"/>
  <c r="I211" i="1"/>
  <c r="J184" i="1"/>
  <c r="I184" i="1"/>
  <c r="J197" i="1"/>
  <c r="I197" i="1"/>
  <c r="K197" i="1" s="1"/>
  <c r="J103" i="1"/>
  <c r="I103" i="1"/>
  <c r="K103" i="1" s="1"/>
  <c r="J223" i="1"/>
  <c r="I223" i="1"/>
  <c r="I35" i="1"/>
  <c r="K35" i="1" s="1"/>
  <c r="J35" i="1"/>
  <c r="J134" i="1"/>
  <c r="I134" i="1"/>
  <c r="J123" i="1"/>
  <c r="I123" i="1"/>
  <c r="J16" i="1"/>
  <c r="I16" i="1"/>
  <c r="K16" i="1" s="1"/>
  <c r="I191" i="1"/>
  <c r="J191" i="1"/>
  <c r="J193" i="1"/>
  <c r="I193" i="1"/>
  <c r="J174" i="1"/>
  <c r="I174" i="1"/>
  <c r="J200" i="1"/>
  <c r="I200" i="1"/>
  <c r="I80" i="1"/>
  <c r="J80" i="1"/>
  <c r="J177" i="1"/>
  <c r="I177" i="1"/>
  <c r="K177" i="1" s="1"/>
  <c r="J156" i="1"/>
  <c r="I156" i="1"/>
  <c r="K156" i="1" s="1"/>
  <c r="J133" i="1"/>
  <c r="I133" i="1"/>
  <c r="J55" i="1"/>
  <c r="I55" i="1"/>
  <c r="I164" i="1"/>
  <c r="J164" i="1"/>
  <c r="J196" i="1"/>
  <c r="I196" i="1"/>
  <c r="J121" i="1"/>
  <c r="I121" i="1"/>
  <c r="K121" i="1" s="1"/>
  <c r="J74" i="1"/>
  <c r="I74" i="1"/>
  <c r="K74" i="1" s="1"/>
  <c r="J163" i="1"/>
  <c r="I163" i="1"/>
  <c r="I224" i="1"/>
  <c r="K224" i="1" s="1"/>
  <c r="J224" i="1"/>
  <c r="J91" i="1"/>
  <c r="I91" i="1"/>
  <c r="J118" i="1"/>
  <c r="I118" i="1"/>
  <c r="I72" i="1"/>
  <c r="J72" i="1"/>
  <c r="J26" i="1"/>
  <c r="I26" i="1"/>
  <c r="K26" i="1" s="1"/>
  <c r="J89" i="1"/>
  <c r="I89" i="1"/>
  <c r="J147" i="1"/>
  <c r="I147" i="1"/>
  <c r="J63" i="1"/>
  <c r="I63" i="1"/>
  <c r="J110" i="1"/>
  <c r="I110" i="1"/>
  <c r="J13" i="1"/>
  <c r="I13" i="1"/>
  <c r="K13" i="1" s="1"/>
  <c r="J187" i="1"/>
  <c r="I187" i="1"/>
  <c r="K187" i="1" s="1"/>
  <c r="J175" i="1"/>
  <c r="I175" i="1"/>
  <c r="I215" i="1"/>
  <c r="K215" i="1" s="1"/>
  <c r="J215" i="1"/>
  <c r="J189" i="1"/>
  <c r="I189" i="1"/>
  <c r="J136" i="1"/>
  <c r="I136" i="1"/>
  <c r="J58" i="1"/>
  <c r="I58" i="1"/>
  <c r="K58" i="1" s="1"/>
  <c r="I56" i="1"/>
  <c r="J56" i="1"/>
  <c r="J195" i="1"/>
  <c r="I195" i="1"/>
  <c r="J162" i="1"/>
  <c r="I162" i="1"/>
  <c r="J100" i="1"/>
  <c r="I100" i="1"/>
  <c r="J172" i="1"/>
  <c r="I172" i="1"/>
  <c r="J97" i="1"/>
  <c r="I97" i="1"/>
  <c r="K97" i="1" s="1"/>
  <c r="I48" i="1"/>
  <c r="J48" i="1"/>
  <c r="J78" i="1"/>
  <c r="I78" i="1"/>
  <c r="J52" i="1"/>
  <c r="I52" i="1"/>
  <c r="J102" i="1"/>
  <c r="I102" i="1"/>
  <c r="J183" i="1"/>
  <c r="I183" i="1"/>
  <c r="J169" i="1"/>
  <c r="I169" i="1"/>
  <c r="K169" i="1" s="1"/>
  <c r="J178" i="1"/>
  <c r="I178" i="1"/>
  <c r="K178" i="1" s="1"/>
  <c r="J7" i="1"/>
  <c r="I7" i="1"/>
  <c r="J150" i="1"/>
  <c r="I150" i="1"/>
  <c r="J18" i="1"/>
  <c r="I18" i="1"/>
  <c r="J117" i="1"/>
  <c r="I117" i="1"/>
  <c r="I59" i="1"/>
  <c r="J59" i="1"/>
  <c r="J101" i="1"/>
  <c r="I101" i="1"/>
  <c r="K101" i="1" s="1"/>
  <c r="I227" i="1"/>
  <c r="J227" i="1"/>
  <c r="J139" i="1"/>
  <c r="I139" i="1"/>
  <c r="J28" i="1"/>
  <c r="I28" i="1"/>
  <c r="J33" i="1"/>
  <c r="I33" i="1"/>
  <c r="I168" i="1"/>
  <c r="J168" i="1"/>
  <c r="J198" i="1"/>
  <c r="I198" i="1"/>
  <c r="K198" i="1" s="1"/>
  <c r="J66" i="1"/>
  <c r="I66" i="1"/>
  <c r="I128" i="1"/>
  <c r="K128" i="1" s="1"/>
  <c r="J128" i="1"/>
  <c r="J157" i="1"/>
  <c r="I157" i="1"/>
  <c r="J135" i="1"/>
  <c r="I135" i="1"/>
  <c r="J62" i="1"/>
  <c r="I62" i="1"/>
  <c r="K62" i="1" s="1"/>
  <c r="J109" i="1"/>
  <c r="I109" i="1"/>
  <c r="K109" i="1" s="1"/>
  <c r="I131" i="1"/>
  <c r="K131" i="1" s="1"/>
  <c r="J131" i="1"/>
  <c r="J94" i="1"/>
  <c r="I94" i="1"/>
  <c r="J171" i="1"/>
  <c r="I171" i="1"/>
  <c r="J115" i="1"/>
  <c r="I115" i="1"/>
  <c r="I132" i="1"/>
  <c r="J132" i="1"/>
  <c r="J231" i="1"/>
  <c r="I231" i="1"/>
  <c r="K231" i="1" s="1"/>
  <c r="J228" i="1"/>
  <c r="I228" i="1"/>
  <c r="J77" i="1"/>
  <c r="I77" i="1"/>
  <c r="J76" i="1"/>
  <c r="I76" i="1"/>
  <c r="J160" i="1"/>
  <c r="I160" i="1"/>
  <c r="J151" i="1"/>
  <c r="I151" i="1"/>
  <c r="K151" i="1" s="1"/>
  <c r="J46" i="1"/>
  <c r="I46" i="1"/>
  <c r="K46" i="1" s="1"/>
  <c r="J124" i="1"/>
  <c r="I124" i="1"/>
  <c r="I12" i="1"/>
  <c r="J12" i="1"/>
  <c r="J205" i="1"/>
  <c r="I205" i="1"/>
  <c r="J42" i="1"/>
  <c r="I42" i="1"/>
  <c r="J141" i="1"/>
  <c r="I141" i="1"/>
  <c r="K141" i="1" s="1"/>
  <c r="I179" i="1"/>
  <c r="J179" i="1"/>
  <c r="J190" i="1"/>
  <c r="I190" i="1"/>
  <c r="J209" i="1"/>
  <c r="I209" i="1"/>
  <c r="J41" i="1"/>
  <c r="I41" i="1"/>
  <c r="J44" i="1"/>
  <c r="I44" i="1"/>
  <c r="I8" i="1"/>
  <c r="J8" i="1"/>
  <c r="J106" i="1"/>
  <c r="I106" i="1"/>
  <c r="K106" i="1" s="1"/>
  <c r="J81" i="1"/>
  <c r="I81" i="1"/>
  <c r="J65" i="1"/>
  <c r="I65" i="1"/>
  <c r="J194" i="1"/>
  <c r="I194" i="1"/>
  <c r="J146" i="1"/>
  <c r="I146" i="1"/>
  <c r="J220" i="1"/>
  <c r="I220" i="1"/>
  <c r="K220" i="1" s="1"/>
  <c r="J142" i="1"/>
  <c r="I142" i="1"/>
  <c r="K142" i="1" s="1"/>
  <c r="J22" i="1"/>
  <c r="I22" i="1"/>
  <c r="I144" i="1"/>
  <c r="J144" i="1"/>
  <c r="J137" i="1"/>
  <c r="I137" i="1"/>
  <c r="I68" i="1"/>
  <c r="J68" i="1"/>
  <c r="J51" i="1"/>
  <c r="I51" i="1"/>
  <c r="K51" i="1" s="1"/>
  <c r="J214" i="1"/>
  <c r="I214" i="1"/>
  <c r="K214" i="1" s="1"/>
  <c r="J17" i="1"/>
  <c r="I17" i="1"/>
  <c r="J50" i="1"/>
  <c r="I50" i="1"/>
  <c r="J226" i="1"/>
  <c r="I226" i="1"/>
  <c r="J57" i="1"/>
  <c r="I57" i="1"/>
  <c r="J31" i="1"/>
  <c r="I31" i="1"/>
  <c r="K31" i="1" s="1"/>
  <c r="I60" i="1"/>
  <c r="J60" i="1"/>
  <c r="J90" i="1"/>
  <c r="I90" i="1"/>
  <c r="J75" i="1"/>
  <c r="I75" i="1"/>
  <c r="J67" i="1"/>
  <c r="I67" i="1"/>
  <c r="J39" i="1"/>
  <c r="I39" i="1"/>
  <c r="J88" i="1"/>
  <c r="I88" i="1"/>
  <c r="K88" i="1" s="1"/>
  <c r="J206" i="1"/>
  <c r="I206" i="1"/>
  <c r="K206" i="1" s="1"/>
  <c r="J93" i="1"/>
  <c r="I93" i="1"/>
  <c r="J4" i="1"/>
  <c r="I4" i="1"/>
  <c r="I96" i="1"/>
  <c r="K96" i="1" s="1"/>
  <c r="J96" i="1"/>
  <c r="I188" i="1"/>
  <c r="J188" i="1"/>
  <c r="J182" i="1"/>
  <c r="I182" i="1"/>
  <c r="K182" i="1" s="1"/>
  <c r="J85" i="1"/>
  <c r="I85" i="1"/>
  <c r="K85" i="1" s="1"/>
  <c r="J21" i="1"/>
  <c r="I21" i="1"/>
  <c r="J202" i="1"/>
  <c r="I202" i="1"/>
  <c r="J111" i="1"/>
  <c r="I111" i="1"/>
  <c r="J154" i="1"/>
  <c r="I154" i="1"/>
  <c r="I192" i="1"/>
  <c r="J192" i="1"/>
  <c r="J222" i="1"/>
  <c r="I222" i="1"/>
  <c r="K222" i="1" s="1"/>
  <c r="J64" i="1"/>
  <c r="I64" i="1"/>
  <c r="J69" i="1"/>
  <c r="I69" i="1"/>
  <c r="J125" i="1"/>
  <c r="I125" i="1"/>
  <c r="J54" i="1"/>
  <c r="I54" i="1"/>
  <c r="J210" i="1"/>
  <c r="I210" i="1"/>
  <c r="K210" i="1" s="1"/>
  <c r="I23" i="1"/>
  <c r="J23" i="1"/>
  <c r="I71" i="1"/>
  <c r="K71" i="1" s="1"/>
  <c r="J71" i="1"/>
  <c r="J40" i="1"/>
  <c r="I40" i="1"/>
  <c r="J6" i="1"/>
  <c r="I6" i="1"/>
  <c r="J126" i="1"/>
  <c r="I126" i="1"/>
  <c r="J208" i="1"/>
  <c r="I208" i="1"/>
  <c r="K208" i="1" s="1"/>
  <c r="J140" i="1"/>
  <c r="I140" i="1"/>
  <c r="K140" i="1" s="1"/>
  <c r="J229" i="1"/>
  <c r="I229" i="1"/>
  <c r="J10" i="1"/>
  <c r="I10" i="1"/>
  <c r="I203" i="1"/>
  <c r="K203" i="1" s="1"/>
  <c r="J203" i="1"/>
  <c r="J25" i="1"/>
  <c r="I25" i="1"/>
  <c r="J181" i="1"/>
  <c r="I181" i="1"/>
  <c r="K181" i="1" s="1"/>
  <c r="I36" i="1"/>
  <c r="J36" i="1"/>
  <c r="J9" i="1"/>
  <c r="I9" i="1"/>
  <c r="J186" i="1"/>
  <c r="I186" i="1"/>
  <c r="J70" i="1"/>
  <c r="I70" i="1"/>
  <c r="J217" i="1"/>
  <c r="I217" i="1"/>
  <c r="J207" i="1"/>
  <c r="I207" i="1"/>
  <c r="K207" i="1" s="1"/>
  <c r="J170" i="1"/>
  <c r="I170" i="1"/>
  <c r="K170" i="1" s="1"/>
  <c r="H152" i="1"/>
  <c r="H29" i="1"/>
  <c r="H154" i="1"/>
  <c r="H190" i="1"/>
  <c r="H156" i="1"/>
  <c r="H53" i="1"/>
  <c r="H225" i="1"/>
  <c r="H209" i="1"/>
  <c r="H100" i="1"/>
  <c r="H211" i="1"/>
  <c r="H133" i="1"/>
  <c r="H114" i="1"/>
  <c r="H128" i="1"/>
  <c r="H226" i="1"/>
  <c r="H47" i="1"/>
  <c r="H55" i="1"/>
  <c r="H157" i="1"/>
  <c r="H138" i="1"/>
  <c r="H30" i="1"/>
  <c r="H19" i="1"/>
  <c r="H199" i="1"/>
  <c r="H148" i="1"/>
  <c r="H24" i="1"/>
  <c r="H141" i="1"/>
  <c r="H179" i="1"/>
  <c r="H49" i="1"/>
  <c r="H5" i="1"/>
  <c r="H185" i="1"/>
  <c r="H201" i="1"/>
  <c r="H143" i="1"/>
  <c r="H82" i="1"/>
  <c r="H11" i="1"/>
  <c r="H204" i="1"/>
  <c r="H212" i="1"/>
  <c r="H98" i="1"/>
  <c r="H218" i="1"/>
  <c r="H92" i="1"/>
  <c r="H113" i="1"/>
  <c r="H34" i="1"/>
  <c r="H145" i="1"/>
  <c r="H32" i="1"/>
  <c r="H83" i="1"/>
  <c r="H112" i="1"/>
  <c r="H129" i="1"/>
  <c r="H127" i="1"/>
  <c r="H15" i="1"/>
  <c r="H165" i="1"/>
  <c r="H79" i="1"/>
  <c r="H176" i="1"/>
  <c r="H161" i="1"/>
  <c r="H195" i="1"/>
  <c r="H216" i="1"/>
  <c r="H221" i="1"/>
  <c r="H162" i="1"/>
  <c r="E2" i="1" a="1"/>
  <c r="E2" i="1" s="1"/>
  <c r="D2" i="1" a="1"/>
  <c r="D2" i="1" s="1"/>
  <c r="G2" i="1" a="1"/>
  <c r="G2" i="1" s="1"/>
  <c r="F2" i="1" a="1"/>
  <c r="F2" i="1" s="1"/>
  <c r="H184" i="1"/>
  <c r="H172" i="1"/>
  <c r="H164" i="1"/>
  <c r="H38" i="1"/>
  <c r="H213" i="1"/>
  <c r="H155" i="1"/>
  <c r="H87" i="1"/>
  <c r="H45" i="1"/>
  <c r="H3" i="1"/>
  <c r="H167" i="1"/>
  <c r="H104" i="1"/>
  <c r="H116" i="1"/>
  <c r="H166" i="1"/>
  <c r="H219" i="1"/>
  <c r="H105" i="1"/>
  <c r="H120" i="1"/>
  <c r="H122" i="1"/>
  <c r="H158" i="1"/>
  <c r="H14" i="1"/>
  <c r="H86" i="1"/>
  <c r="H173" i="1"/>
  <c r="H153" i="1"/>
  <c r="H73" i="1"/>
  <c r="H107" i="1"/>
  <c r="H119" i="1"/>
  <c r="H180" i="1"/>
  <c r="H27" i="1"/>
  <c r="H130" i="1"/>
  <c r="H159" i="1"/>
  <c r="H149" i="1"/>
  <c r="H97" i="1"/>
  <c r="H197" i="1"/>
  <c r="H123" i="1"/>
  <c r="H191" i="1"/>
  <c r="H200" i="1"/>
  <c r="H74" i="1"/>
  <c r="H163" i="1"/>
  <c r="H224" i="1"/>
  <c r="H91" i="1"/>
  <c r="H118" i="1"/>
  <c r="H72" i="1"/>
  <c r="H26" i="1"/>
  <c r="H89" i="1"/>
  <c r="H147" i="1"/>
  <c r="H63" i="1"/>
  <c r="H110" i="1"/>
  <c r="H13" i="1"/>
  <c r="H187" i="1"/>
  <c r="H175" i="1"/>
  <c r="H215" i="1"/>
  <c r="H189" i="1"/>
  <c r="H136" i="1"/>
  <c r="H58" i="1"/>
  <c r="H56" i="1"/>
  <c r="H108" i="1"/>
  <c r="H95" i="1"/>
  <c r="H99" i="1"/>
  <c r="H35" i="1"/>
  <c r="H80" i="1"/>
  <c r="H78" i="1"/>
  <c r="H109" i="1"/>
  <c r="H131" i="1"/>
  <c r="H102" i="1"/>
  <c r="H183" i="1"/>
  <c r="H169" i="1"/>
  <c r="H178" i="1"/>
  <c r="H7" i="1"/>
  <c r="H150" i="1"/>
  <c r="H18" i="1"/>
  <c r="H117" i="1"/>
  <c r="H59" i="1"/>
  <c r="H101" i="1"/>
  <c r="H227" i="1"/>
  <c r="H139" i="1"/>
  <c r="H28" i="1"/>
  <c r="H33" i="1"/>
  <c r="H168" i="1"/>
  <c r="H198" i="1"/>
  <c r="H66" i="1"/>
  <c r="H61" i="1"/>
  <c r="H134" i="1"/>
  <c r="H174" i="1"/>
  <c r="H177" i="1"/>
  <c r="H48" i="1"/>
  <c r="H135" i="1"/>
  <c r="H62" i="1"/>
  <c r="H52" i="1"/>
  <c r="H94" i="1"/>
  <c r="H171" i="1"/>
  <c r="H115" i="1"/>
  <c r="H132" i="1"/>
  <c r="H231" i="1"/>
  <c r="H228" i="1"/>
  <c r="H77" i="1"/>
  <c r="H76" i="1"/>
  <c r="H160" i="1"/>
  <c r="H151" i="1"/>
  <c r="H46" i="1"/>
  <c r="H124" i="1"/>
  <c r="H12" i="1"/>
  <c r="H205" i="1"/>
  <c r="H42" i="1"/>
  <c r="H230" i="1"/>
  <c r="H20" i="1"/>
  <c r="H103" i="1"/>
  <c r="H16" i="1"/>
  <c r="H193" i="1"/>
  <c r="H41" i="1"/>
  <c r="H44" i="1"/>
  <c r="H8" i="1"/>
  <c r="H106" i="1"/>
  <c r="H81" i="1"/>
  <c r="H65" i="1"/>
  <c r="H194" i="1"/>
  <c r="H146" i="1"/>
  <c r="H220" i="1"/>
  <c r="H142" i="1"/>
  <c r="H22" i="1"/>
  <c r="H144" i="1"/>
  <c r="H137" i="1"/>
  <c r="H68" i="1"/>
  <c r="H51" i="1"/>
  <c r="H214" i="1"/>
  <c r="H17" i="1"/>
  <c r="H50" i="1"/>
  <c r="H43" i="1"/>
  <c r="H196" i="1"/>
  <c r="H223" i="1"/>
  <c r="H31" i="1"/>
  <c r="H60" i="1"/>
  <c r="H90" i="1"/>
  <c r="H75" i="1"/>
  <c r="H67" i="1"/>
  <c r="H39" i="1"/>
  <c r="H88" i="1"/>
  <c r="H206" i="1"/>
  <c r="H93" i="1"/>
  <c r="H4" i="1"/>
  <c r="H96" i="1"/>
  <c r="H188" i="1"/>
  <c r="H182" i="1"/>
  <c r="H85" i="1"/>
  <c r="H21" i="1"/>
  <c r="H202" i="1"/>
  <c r="H111" i="1"/>
  <c r="H37" i="1"/>
  <c r="H84" i="1"/>
  <c r="H121" i="1"/>
  <c r="H57" i="1"/>
  <c r="H192" i="1"/>
  <c r="H222" i="1"/>
  <c r="H64" i="1"/>
  <c r="H69" i="1"/>
  <c r="H125" i="1"/>
  <c r="H54" i="1"/>
  <c r="H210" i="1"/>
  <c r="H23" i="1"/>
  <c r="H71" i="1"/>
  <c r="H40" i="1"/>
  <c r="H6" i="1"/>
  <c r="H126" i="1"/>
  <c r="H208" i="1"/>
  <c r="H140" i="1"/>
  <c r="H229" i="1"/>
  <c r="H10" i="1"/>
  <c r="H203" i="1"/>
  <c r="H25" i="1"/>
  <c r="H181" i="1"/>
  <c r="H36" i="1"/>
  <c r="H9" i="1"/>
  <c r="H186" i="1"/>
  <c r="H70" i="1"/>
  <c r="H217" i="1"/>
  <c r="H207" i="1"/>
  <c r="H170" i="1"/>
  <c r="K188" i="1" l="1"/>
  <c r="K68" i="1"/>
  <c r="K80" i="1"/>
  <c r="K144" i="1"/>
  <c r="K12" i="1"/>
  <c r="K152" i="1"/>
  <c r="K227" i="1"/>
  <c r="K164" i="1"/>
  <c r="K84" i="1"/>
  <c r="K180" i="1"/>
  <c r="K212" i="1"/>
  <c r="K24" i="1"/>
  <c r="K47" i="1"/>
  <c r="K132" i="1"/>
  <c r="K120" i="1"/>
  <c r="K167" i="1"/>
  <c r="K143" i="1"/>
  <c r="K217" i="1"/>
  <c r="K25" i="1"/>
  <c r="K126" i="1"/>
  <c r="K54" i="1"/>
  <c r="K154" i="1"/>
  <c r="K39" i="1"/>
  <c r="K57" i="1"/>
  <c r="K146" i="1"/>
  <c r="K44" i="1"/>
  <c r="K42" i="1"/>
  <c r="K160" i="1"/>
  <c r="K115" i="1"/>
  <c r="K135" i="1"/>
  <c r="K33" i="1"/>
  <c r="K117" i="1"/>
  <c r="K183" i="1"/>
  <c r="K172" i="1"/>
  <c r="K136" i="1"/>
  <c r="K110" i="1"/>
  <c r="K118" i="1"/>
  <c r="K196" i="1"/>
  <c r="K123" i="1"/>
  <c r="K184" i="1"/>
  <c r="K99" i="1"/>
  <c r="K20" i="1"/>
  <c r="K43" i="1"/>
  <c r="K173" i="1"/>
  <c r="K105" i="1"/>
  <c r="K3" i="1"/>
  <c r="K225" i="1"/>
  <c r="K165" i="1"/>
  <c r="K98" i="1"/>
  <c r="K201" i="1"/>
  <c r="K138" i="1"/>
  <c r="K8" i="1"/>
  <c r="J2" i="1"/>
  <c r="I2" i="1"/>
  <c r="K72" i="1"/>
  <c r="K83" i="1"/>
  <c r="K70" i="1"/>
  <c r="K6" i="1"/>
  <c r="K125" i="1"/>
  <c r="K111" i="1"/>
  <c r="K67" i="1"/>
  <c r="K226" i="1"/>
  <c r="K137" i="1"/>
  <c r="K194" i="1"/>
  <c r="K41" i="1"/>
  <c r="K205" i="1"/>
  <c r="K76" i="1"/>
  <c r="K171" i="1"/>
  <c r="K157" i="1"/>
  <c r="K28" i="1"/>
  <c r="K18" i="1"/>
  <c r="K102" i="1"/>
  <c r="K100" i="1"/>
  <c r="K189" i="1"/>
  <c r="K63" i="1"/>
  <c r="K91" i="1"/>
  <c r="K200" i="1"/>
  <c r="K134" i="1"/>
  <c r="K211" i="1"/>
  <c r="K149" i="1"/>
  <c r="K86" i="1"/>
  <c r="K219" i="1"/>
  <c r="K45" i="1"/>
  <c r="K221" i="1"/>
  <c r="K15" i="1"/>
  <c r="K145" i="1"/>
  <c r="K186" i="1"/>
  <c r="K10" i="1"/>
  <c r="K40" i="1"/>
  <c r="K69" i="1"/>
  <c r="K202" i="1"/>
  <c r="K4" i="1"/>
  <c r="K75" i="1"/>
  <c r="K50" i="1"/>
  <c r="K65" i="1"/>
  <c r="K209" i="1"/>
  <c r="K77" i="1"/>
  <c r="K94" i="1"/>
  <c r="K139" i="1"/>
  <c r="K150" i="1"/>
  <c r="K52" i="1"/>
  <c r="K162" i="1"/>
  <c r="K147" i="1"/>
  <c r="K55" i="1"/>
  <c r="K174" i="1"/>
  <c r="K185" i="1"/>
  <c r="K61" i="1"/>
  <c r="K130" i="1"/>
  <c r="K14" i="1"/>
  <c r="K166" i="1"/>
  <c r="K87" i="1"/>
  <c r="K127" i="1"/>
  <c r="K34" i="1"/>
  <c r="K204" i="1"/>
  <c r="K148" i="1"/>
  <c r="K114" i="1"/>
  <c r="K192" i="1"/>
  <c r="K168" i="1"/>
  <c r="K59" i="1"/>
  <c r="K9" i="1"/>
  <c r="K229" i="1"/>
  <c r="K64" i="1"/>
  <c r="K21" i="1"/>
  <c r="K93" i="1"/>
  <c r="K90" i="1"/>
  <c r="K17" i="1"/>
  <c r="K22" i="1"/>
  <c r="K81" i="1"/>
  <c r="K190" i="1"/>
  <c r="K124" i="1"/>
  <c r="K228" i="1"/>
  <c r="K66" i="1"/>
  <c r="K7" i="1"/>
  <c r="K78" i="1"/>
  <c r="K195" i="1"/>
  <c r="K175" i="1"/>
  <c r="K89" i="1"/>
  <c r="K163" i="1"/>
  <c r="K133" i="1"/>
  <c r="K193" i="1"/>
  <c r="K223" i="1"/>
  <c r="K5" i="1"/>
  <c r="K230" i="1"/>
  <c r="K158" i="1"/>
  <c r="K161" i="1"/>
  <c r="K129" i="1"/>
  <c r="K113" i="1"/>
  <c r="K199" i="1"/>
  <c r="K53" i="1"/>
  <c r="K36" i="1"/>
  <c r="K23" i="1"/>
  <c r="K60" i="1"/>
  <c r="K179" i="1"/>
  <c r="K48" i="1"/>
  <c r="K56" i="1"/>
  <c r="K191" i="1"/>
  <c r="K108" i="1"/>
  <c r="K104" i="1"/>
  <c r="K176" i="1"/>
  <c r="K92" i="1"/>
  <c r="H2" i="1"/>
  <c r="K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87AEF-049D-4FB3-B650-67C545796CDE}" keepAlive="1" name="Consulta - sales_orders" description="Conexión a la consulta 'sales_orders' en el libro." type="5" refreshedVersion="8" background="1" saveData="1">
    <dbPr connection="Provider=Microsoft.Mashup.OleDb.1;Data Source=$Workbook$;Location=sales_orders;Extended Properties=&quot;&quot;" command="SELECT * FROM [sales_ord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<sst xmlns="http://schemas.openxmlformats.org/spreadsheetml/2006/main" count="217" uniqueCount="118">
  <si>
    <t>order_number</t>
  </si>
  <si>
    <t>order_date</t>
  </si>
  <si>
    <t>line_items</t>
  </si>
  <si>
    <t>fulfillment</t>
  </si>
  <si>
    <t>[_x000D_
  {_x000D_
    "product": {_x000D_
      "product_name": "MGS Age of Empires II Gold Edition2009 E172",_x000D_
      "product_price": 32_x000D_
    },_x000D_
    "quantity": 3_x000D_
  },_x000D_
  {_x000D_
    "product": {_x000D_
      "product_name": "A. Datum Bridge Digital Camera M300 Pink",_x000D_
      "product_price": 186.9_x000D_
    },_x000D_
    "quantity": 2_x000D_
  },_x000D_
  {_x000D_
    "product": {_x000D_
      "product_name": "WWI Desktop PC1.80 E1801 Silver",_x000D_
      "product_price": 269.9_x000D_
    },_x000D_
    "quantity": 1_x000D_
  }_x000D_
]</t>
  </si>
  <si>
    <t>In store</t>
  </si>
  <si>
    <t>[_x000D_
  {_x000D_
    "product": {_x000D_
      "product_name": "Contoso DVD 60 DVD Storage Binder L20 Black",_x000D_
      "product_price": 22.89_x000D_
    },_x000D_
    "quantity": 5_x000D_
  },_x000D_
  {_x000D_
    "product": {_x000D_
      "product_name": "SV DVD 38 DVD Storage Binder E25 Silver",_x000D_
      "product_price": 9.99_x000D_
    },_x000D_
    "quantity": 5_x000D_
  }_x000D_
]</t>
  </si>
  <si>
    <t>[_x000D_
  {_x000D_
    "product": {_x000D_
      "product_name": "Contoso 16GB Mp5 Player M1600 Blue",_x000D_
      "product_price": 199.9_x000D_
    },_x000D_
    "quantity": 1_x000D_
  }_x000D_
]</t>
  </si>
  <si>
    <t>[_x000D_
  {_x000D_
    "product": {_x000D_
      "product_name": "Contoso Water Heater 2.6GPM E0900 Green",_x000D_
      "product_price": 508_x000D_
    },_x000D_
    "quantity": 1_x000D_
  },_x000D_
  {_x000D_
    "product": {_x000D_
      "product_name": "The Phone Company Pen Touch Screen Phones-2.6 M320 Black",_x000D_
      "product_price": 290_x000D_
    },_x000D_
    "quantity": 1_x000D_
  },_x000D_
  {_x000D_
    "product": {_x000D_
      "product_name": "Contoso USB Wave Multi-media Keyboard E280 Black",_x000D_
      "product_price": 15.9_x000D_
    },_x000D_
    "quantity": 6_x000D_
  },_x000D_
  {_x000D_
    "product": {_x000D_
      "product_name": "SV 16xDVD M320 Black",_x000D_
      "product_price": 119_x000D_
    },_x000D_
    "quantity": 7_x000D_
  }_x000D_
]</t>
  </si>
  <si>
    <t>Online</t>
  </si>
  <si>
    <t>[_x000D_
  {_x000D_
    "product": {_x000D_
      "product_name": "Contoso Genuine Leather Grip Belt E322 Black",_x000D_
      "product_price": 77.99_x000D_
    },_x000D_
    "quantity": 8_x000D_
  }_x000D_
]</t>
  </si>
  <si>
    <t>[_x000D_
  {_x000D_
    "product": {_x000D_
      "product_name": "WWI Wireless Transmitter and Bluetooth Headphones X250 Silver",_x000D_
      "product_price": 249.99_x000D_
    },_x000D_
    "quantity": 7_x000D_
  },_x000D_
  {_x000D_
    "product": {_x000D_
      "product_name": "Adventure Works Desktop PC3.0 MS300 Silver",_x000D_
      "product_price": 469_x000D_
    },_x000D_
    "quantity": 1_x000D_
  },_x000D_
  {_x000D_
    "product": {_x000D_
      "product_name": "SV 16xDVD M310 Black",_x000D_
      "product_price": 129_x000D_
    },_x000D_
    "quantity": 2_x000D_
  }_x000D_
]</t>
  </si>
  <si>
    <t>[_x000D_
  {_x000D_
    "product": {_x000D_
      "product_name": "Adventure Works Coffee Maker 4C E080 Black",_x000D_
      "product_price": 129.9_x000D_
    },_x000D_
    "quantity": 1_x000D_
  }_x000D_
]</t>
  </si>
  <si>
    <t>[_x000D_
  {_x000D_
    "product": {_x000D_
      "product_name": "SV DVD 58 DVD Storage Binder M55 Black",_x000D_
      "product_price": 13.89_x000D_
    },_x000D_
    "quantity": 3_x000D_
  },_x000D_
  {_x000D_
    "product": {_x000D_
      "product_name": "Proseware Wall Lamp E0315 Blue",_x000D_
      "product_price": 101.99_x000D_
    },_x000D_
    "quantity": 2_x000D_
  },_x000D_
  {_x000D_
    "product": {_x000D_
      "product_name": "Fabrikam Coffee Maker Auto 5C E090 Black",_x000D_
      "product_price": 163_x000D_
    },_x000D_
    "quantity": 3_x000D_
  }_x000D_
]</t>
  </si>
  <si>
    <t>[_x000D_
  {_x000D_
    "product": {_x000D_
      "product_name": "WWI Wireless Bluetooth Stereo Headphones M170 Pink",_x000D_
      "product_price": 120_x000D_
    },_x000D_
    "quantity": 6_x000D_
  },_x000D_
  {_x000D_
    "product": {_x000D_
      "product_name": "Contoso Phone with 13-Number Memory (210) M301 Grey",_x000D_
      "product_price": 16.99_x000D_
    },_x000D_
    "quantity": 3_x000D_
  },_x000D_
  {_x000D_
    "product": {_x000D_
      "product_name": "SV 8xDVD E100 Black",_x000D_
      "product_price": 69_x000D_
    },_x000D_
    "quantity": 6_x000D_
  },_x000D_
  {_x000D_
    "product": {_x000D_
      "product_name": "Litware Microwave 1.0CuFt E110 Silver",_x000D_
      "product_price": 139.99_x000D_
    },_x000D_
    "quantity": 2_x000D_
  }_x000D_
]</t>
  </si>
  <si>
    <t>[_x000D_
  {_x000D_
    "product": {_x000D_
      "product_name": "Proseware Laptop15.4W M518 Black",_x000D_
      "product_price": 758_x000D_
    },_x000D_
    "quantity": 2_x000D_
  },_x000D_
  {_x000D_
    "product": {_x000D_
      "product_name": "Contoso Water Heater 1.5GPM E0800 Grey",_x000D_
      "product_price": 257.5_x000D_
    },_x000D_
    "quantity": 2_x000D_
  },_x000D_
  {_x000D_
    "product": {_x000D_
      "product_name": "Contoso Expandable 2-Handset Cordless Phone System M205 Grey",_x000D_
      "product_price": 40.19_x000D_
    },_x000D_
    "quantity": 5_x000D_
  }_x000D_
]</t>
  </si>
  <si>
    <t>[_x000D_
  {_x000D_
    "product": {_x000D_
      "product_name": "WWI 2GB Spy Video Recorder Pen M300 White",_x000D_
      "product_price": 181_x000D_
    },_x000D_
    "quantity": 3_x000D_
  }_x000D_
]</t>
  </si>
  <si>
    <t>[_x000D_
  {_x000D_
    "product": {_x000D_
      "product_name": "WWI Desktop PC1.80 E1800 Black",_x000D_
      "product_price": 229.9_x000D_
    },_x000D_
    "quantity": 1_x000D_
  }_x000D_
]</t>
  </si>
  <si>
    <t>[_x000D_
  {_x000D_
    "product": {_x000D_
      "product_name": "Fabrikam Microwave 0.8CuFt E0800 Silver",_x000D_
      "product_price": 94.99_x000D_
    },_x000D_
    "quantity": 3_x000D_
  },_x000D_
  {_x000D_
    "product": {_x000D_
      "product_name": "Contoso Water Heater 2.6GPM E0900 Blue",_x000D_
      "product_price": 508_x000D_
    },_x000D_
    "quantity": 3_x000D_
  }_x000D_
]</t>
  </si>
  <si>
    <t>[_x000D_
  {_x000D_
    "product": {_x000D_
      "product_name": "Contoso DVD 7-Inch Player Portable E200 Silver",_x000D_
      "product_price": 109.99_x000D_
    },_x000D_
    "quantity": 3_x000D_
  },_x000D_
  {_x000D_
    "product": {_x000D_
      "product_name": "MGS Hand Games for Office worker L299 Black",_x000D_
      "product_price": 16.89_x000D_
    },_x000D_
    "quantity": 2_x000D_
  },_x000D_
  {_x000D_
    "product": {_x000D_
      "product_name": "Adventure Works Laptop15.4W M1548 Black",_x000D_
      "product_price": 758_x000D_
    },_x000D_
    "quantity": 1_x000D_
  },_x000D_
  {_x000D_
    "product": {_x000D_
      "product_name": "Contoso Water Heater 1.5GPM E0800 White",_x000D_
      "product_price": 257.5_x000D_
    },_x000D_
    "quantity": 3_x000D_
  }_x000D_
]</t>
  </si>
  <si>
    <t>[_x000D_
  {_x000D_
    "product": {_x000D_
      "product_name": "WWI 2GB Pulse Smart pen M100 Black",_x000D_
      "product_price": 199.95_x000D_
    },_x000D_
    "quantity": 5_x000D_
  },_x000D_
  {_x000D_
    "product": {_x000D_
      "product_name": "A. Datum Super-zoom Digital Camera X300 Green",_x000D_
      "product_price": 290_x000D_
    },_x000D_
    "quantity": 2_x000D_
  }_x000D_
]</t>
  </si>
  <si>
    <t>[_x000D_
  {_x000D_
    "product": {_x000D_
      "product_name": "WWI 2GB Pulse Smart pen M100 Silver",_x000D_
      "product_price": 199.95_x000D_
    },_x000D_
    "quantity": 1_x000D_
  },_x000D_
  {_x000D_
    "product": {_x000D_
      "product_name": "WWI Projector 1080p LCD86 Black",_x000D_
      "product_price": 2295_x000D_
    },_x000D_
    "quantity": 1_x000D_
  }_x000D_
]</t>
  </si>
  <si>
    <t>[_x000D_
  {_x000D_
    "product": {_x000D_
      "product_name": "Contoso 16GB Mp5 Player M1600 Red",_x000D_
      "product_price": 199.9_x000D_
    },_x000D_
    "quantity": 1_x000D_
  }_x000D_
]</t>
  </si>
  <si>
    <t>[_x000D_
  {_x000D_
    "product": {_x000D_
      "product_name": "Contoso ADSL Modem Splitter/Filter X 3 E300 Black",_x000D_
      "product_price": 52.9_x000D_
    },_x000D_
    "quantity": 1_x000D_
  },_x000D_
  {_x000D_
    "product": {_x000D_
      "product_name": "Proseware Color Ink Jet Fax, Copier, Phone M250 Black",_x000D_
      "product_price": 159_x000D_
    },_x000D_
    "quantity": 3_x000D_
  }_x000D_
]</t>
  </si>
  <si>
    <t>[_x000D_
  {_x000D_
    "product": {_x000D_
      "product_name": "SV DVD 9-Inch Player Portable M300 White",_x000D_
      "product_price": 159.99_x000D_
    },_x000D_
    "quantity": 1_x000D_
  }_x000D_
]</t>
  </si>
  <si>
    <t>[_x000D_
  {_x000D_
    "product": {_x000D_
      "product_name": "Contoso Battery charger - bike E200 White",_x000D_
      "product_price": 19.9_x000D_
    },_x000D_
    "quantity": 1_x000D_
  },_x000D_
  {_x000D_
    "product": {_x000D_
      "product_name": "WWI 1GB Pulse Smart pen E50 White",_x000D_
      "product_price": 149.95_x000D_
    },_x000D_
    "quantity": 2_x000D_
  }_x000D_
]</t>
  </si>
  <si>
    <t>[_x000D_
  {_x000D_
    "product": {_x000D_
      "product_name": "NT Wireless Bluetooth Stereo Headphones M402 Green",_x000D_
      "product_price": 99.99_x000D_
    },_x000D_
    "quantity": 10_x000D_
  }_x000D_
]</t>
  </si>
  <si>
    <t>[_x000D_
  {_x000D_
    "product": {_x000D_
      "product_name": "Fabrikam Social Videographer 1/2'' 3mm E300 Black",_x000D_
      "product_price": 170_x000D_
    },_x000D_
    "quantity": 2_x000D_
  }_x000D_
]</t>
  </si>
  <si>
    <t>[_x000D_
  {_x000D_
    "product": {_x000D_
      "product_name": "Adventure Works Desktop PC1.80 ED182 White",_x000D_
      "product_price": 499.9_x000D_
    },_x000D_
    "quantity": 2_x000D_
  },_x000D_
  {_x000D_
    "product": {_x000D_
      "product_name": "WWI Desktop PC2.33 X2330 Black",_x000D_
      "product_price": 919_x000D_
    },_x000D_
    "quantity": 3_x000D_
  }_x000D_
]</t>
  </si>
  <si>
    <t>[_x000D_
  {_x000D_
    "product": {_x000D_
      "product_name": "The Phone Company Touch Screen Phones 5-Wire/Built-in M500 Grey",_x000D_
      "product_price": 256_x000D_
    },_x000D_
    "quantity": 1_x000D_
  }_x000D_
]</t>
  </si>
  <si>
    <t>[_x000D_
  {_x000D_
    "product": {_x000D_
      "product_name": "The Phone Company PDA GPS Phone 4.7 inch L950 Silver",_x000D_
      "product_price": 368_x000D_
    },_x000D_
    "quantity": 2_x000D_
  }_x000D_
]</t>
  </si>
  <si>
    <t>[_x000D_
  {_x000D_
    "product": {_x000D_
      "product_name": "Fabrikam Laptop15 M5000 White",_x000D_
      "product_price": 699_x000D_
    },_x000D_
    "quantity": 1_x000D_
  }_x000D_
]</t>
  </si>
  <si>
    <t>[_x000D_
  {_x000D_
    "product": {_x000D_
      "product_name": "Adventure Works Desktop PC1.80 ED182 Brown",_x000D_
      "product_price": 499.9_x000D_
    },_x000D_
    "quantity": 6_x000D_
  },_x000D_
  {_x000D_
    "product": {_x000D_
      "product_name": "Adventure Works Desktop PC2.33 XD233 Black",_x000D_
      "product_price": 969_x000D_
    },_x000D_
    "quantity": 3_x000D_
  },_x000D_
  {_x000D_
    "product": {_x000D_
      "product_name": "Adventure Works Desktop PC1.80 ED180 Silver",_x000D_
      "product_price": 369_x000D_
    },_x000D_
    "quantity": 1_x000D_
  }_x000D_
]</t>
  </si>
  <si>
    <t>[_x000D_
  {_x000D_
    "product": {_x000D_
      "product_name": "Contoso 3 Handset Cordless Phone System  E30 Black",_x000D_
      "product_price": 16.99_x000D_
    },_x000D_
    "quantity": 9_x000D_
  },_x000D_
  {_x000D_
    "product": {_x000D_
      "product_name": "SV DVD Player M140 Gold",_x000D_
      "product_price": 60.99_x000D_
    },_x000D_
    "quantity": 2_x000D_
  },_x000D_
  {_x000D_
    "product": {_x000D_
      "product_name": "Contoso DVD 60 DVD Storage Binder L20 Silver",_x000D_
      "product_price": 22.89_x000D_
    },_x000D_
    "quantity": 2_x000D_
  }_x000D_
]</t>
  </si>
  <si>
    <t>[_x000D_
  {_x000D_
    "product": {_x000D_
      "product_name": "Contoso Primary Extended Capacity Battery Pack - notebook battery X100 Grey",_x000D_
      "product_price": 33.9_x000D_
    },_x000D_
    "quantity": 2_x000D_
  }_x000D_
]</t>
  </si>
  <si>
    <t>[_x000D_
  {_x000D_
    "product": {_x000D_
      "product_name": "Headphone Adapter for Contoso Phone E130 White",_x000D_
      "product_price": 9.99_x000D_
    },_x000D_
    "quantity": 8_x000D_
  },_x000D_
  {_x000D_
    "product": {_x000D_
      "product_name": "The Phone Company Touch Screen Phones 26-1.4 M250 Black",_x000D_
      "product_price": 268_x000D_
    },_x000D_
    "quantity": 6_x000D_
  }_x000D_
]</t>
  </si>
  <si>
    <t>[_x000D_
  {_x000D_
    "product": {_x000D_
      "product_name": "Contoso 4-Line Corded Cordless Telephone M203 Black",_x000D_
      "product_price": 32.99_x000D_
    },_x000D_
    "quantity": 5_x000D_
  }_x000D_
]</t>
  </si>
  <si>
    <t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t>
  </si>
  <si>
    <t>[_x000D_
  {_x000D_
    "product": {_x000D_
      "product_name": "NT Wireless Transmitter and Bluetooth Headphones M150 Blue",_x000D_
      "product_price": 149.99_x000D_
    },_x000D_
    "quantity": 4_x000D_
  },_x000D_
  {_x000D_
    "product": {_x000D_
      "product_name": "Adventure Works Desktop PC1.80 ED180 Silver",_x000D_
      "product_price": 369_x000D_
    },_x000D_
    "quantity": 1_x000D_
  },_x000D_
  {_x000D_
    "product": {_x000D_
      "product_name": "Contoso Private Automatic Branch Exchange M65 Black",_x000D_
      "product_price": 38.99_x000D_
    },_x000D_
    "quantity": 2_x000D_
  },_x000D_
  {_x000D_
    "product": {_x000D_
      "product_name": "Adventure Works 15.6 LCD TV M130W Brown",_x000D_
      "product_price": 299.99_x000D_
    },_x000D_
    "quantity": 4_x000D_
  }_x000D_
]</t>
  </si>
  <si>
    <t>[_x000D_
  {_x000D_
    "product": {_x000D_
      "product_name": "The Phone Company PDA Wifi 3.5-inch M200 Silver",_x000D_
      "product_price": 280_x000D_
    },_x000D_
    "quantity": 10_x000D_
  },_x000D_
  {_x000D_
    "product": {_x000D_
      "product_name": "NT Wireless Bluetooth Stereo Headphones M402 Purple",_x000D_
      "product_price": 99.99_x000D_
    },_x000D_
    "quantity": 2_x000D_
  }_x000D_
]</t>
  </si>
  <si>
    <t>[_x000D_
  {_x000D_
    "product": {_x000D_
      "product_name": "WWI Desktop PC2.33 X2330 White",_x000D_
      "product_price": 919_x000D_
    },_x000D_
    "quantity": 3_x000D_
  }_x000D_
]</t>
  </si>
  <si>
    <t>[_x000D_
  {_x000D_
    "product": {_x000D_
      "product_name": "SV DVD External DVD Burner M200 Black",_x000D_
      "product_price": 57.88_x000D_
    },_x000D_
    "quantity": 6_x000D_
  },_x000D_
  {_x000D_
    "product": {_x000D_
      "product_name": "Fabrikam Refrigerator 1.7CuFt E1200 Green",_x000D_
      "product_price": 129.99_x000D_
    },_x000D_
    "quantity": 3_x000D_
  }_x000D_
]</t>
  </si>
  <si>
    <t>[_x000D_
  {_x000D_
    "product": {_x000D_
      "product_name": "WWI Projector 1080p DLP86 Silver",_x000D_
      "product_price": 2499_x000D_
    },_x000D_
    "quantity": 1_x000D_
  }_x000D_
]</t>
  </si>
  <si>
    <t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t>
  </si>
  <si>
    <t>[_x000D_
  {_x000D_
    "product": {_x000D_
      "product_name": "Contoso Hybrid system M60 Black",_x000D_
      "product_price": 28.99_x000D_
    },_x000D_
    "quantity": 1_x000D_
  },_x000D_
  {_x000D_
    "product": {_x000D_
      "product_name": "Adventure Works Laptop15.4W M1548 Red",_x000D_
      "product_price": 758_x000D_
    },_x000D_
    "quantity": 2_x000D_
  },_x000D_
  {_x000D_
    "product": {_x000D_
      "product_name": "The Phone Company Microsoft Windows Mobile M200 Black",_x000D_
      "product_price": 229_x000D_
    },_x000D_
    "quantity": 1_x000D_
  }_x000D_
]</t>
  </si>
  <si>
    <t>[_x000D_
  {_x000D_
    "product": {_x000D_
      "product_name": "Reusable Phone Screen Protector E120",_x000D_
      "product_price": 2.94_x000D_
    },_x000D_
    "quantity": 1_x000D_
  }_x000D_
]</t>
  </si>
  <si>
    <t>[_x000D_
  {_x000D_
    "product": {_x000D_
      "product_name": "SV DVD 38 DVD Storage Binder E25 Black",_x000D_
      "product_price": 9.99_x000D_
    },_x000D_
    "quantity": 3_x000D_
  },_x000D_
  {_x000D_
    "product": {_x000D_
      "product_name": "Contoso General Carrying Case E304 Blue",_x000D_
      "product_price": 19.99_x000D_
    },_x000D_
    "quantity": 6_x000D_
  },_x000D_
  {_x000D_
    "product": {_x000D_
      "product_name": "SV DVD 7-Inch Player Portable E200 Silver",_x000D_
      "product_price": 109.99_x000D_
    },_x000D_
    "quantity": 3_x000D_
  }_x000D_
]</t>
  </si>
  <si>
    <t>[_x000D_
  {_x000D_
    "product": {_x000D_
      "product_name": "The Phone Company Touch Screen Phone 1600 TFT-2.2 L200 Black",_x000D_
      "product_price": 529_x000D_
    },_x000D_
    "quantity": 2_x000D_
  }_x000D_
]</t>
  </si>
  <si>
    <t>[_x000D_
  {_x000D_
    "product": {_x000D_
      "product_name": "SV DVD Player M130 Grey",_x000D_
      "product_price": 59.99_x000D_
    },_x000D_
    "quantity": 1_x000D_
  },_x000D_
  {_x000D_
    "product": {_x000D_
      "product_name": "MGS Age of Mythology E118",_x000D_
      "product_price": 28_x000D_
    },_x000D_
    "quantity": 4_x000D_
  }_x000D_
]</t>
  </si>
  <si>
    <t>[_x000D_
  {_x000D_
    "product": {_x000D_
      "product_name": "The Phone Company Touch Screen Phones 4-Wire/ Built-in M205 Gold",_x000D_
      "product_price": 268_x000D_
    },_x000D_
    "quantity": 1_x000D_
  },_x000D_
  {_x000D_
    "product": {_x000D_
      "product_name": "Contoso Screen 80in E080 White",_x000D_
      "product_price": 109_x000D_
    },_x000D_
    "quantity": 1_x000D_
  },_x000D_
  {_x000D_
    "product": {_x000D_
      "product_name": "NT Bluetooth Stereo Headphones E52 Blue",_x000D_
      "product_price": 25.69_x000D_
    },_x000D_
    "quantity": 3_x000D_
  },_x000D_
  {_x000D_
    "product": {_x000D_
      "product_name": "MGS King&amp; Myths: The Age Collection M340",_x000D_
      "product_price": 72.45_x000D_
    },_x000D_
    "quantity": 6_x000D_
  }_x000D_
]</t>
  </si>
  <si>
    <t>[_x000D_
  {_x000D_
    "product": {_x000D_
      "product_name": "The Phone Company PDA Phone Unlocked 3.5 inches M530 Black",_x000D_
      "product_price": 268_x000D_
    },_x000D_
    "quantity": 2_x000D_
  }_x000D_
]</t>
  </si>
  <si>
    <t>[_x000D_
  {_x000D_
    "product": {_x000D_
      "product_name": "The Phone Company Smart phones Expert M400 Grey",_x000D_
      "product_price": 300_x000D_
    },_x000D_
    "quantity": 2_x000D_
  },_x000D_
  {_x000D_
    "product": {_x000D_
      "product_name": "Fabrikam Microwave 1.0CuFt E1100 Black",_x000D_
      "product_price": 139.99_x000D_
    },_x000D_
    "quantity": 3_x000D_
  },_x000D_
  {_x000D_
    "product": {_x000D_
      "product_name": "Fabrikam Refrigerator 3.2CuFt E1600 Orange",_x000D_
      "product_price": 279.99_x000D_
    },_x000D_
    "quantity": 1_x000D_
  },_x000D_
  {_x000D_
    "product": {_x000D_
      "product_name": "Contoso DVD 60 DVD Storage Binder L20 Silver",_x000D_
      "product_price": 22.89_x000D_
    },_x000D_
    "quantity": 3_x000D_
  }_x000D_
]</t>
  </si>
  <si>
    <t>[_x000D_
  {_x000D_
    "product": {_x000D_
      "product_name": "The Phone Company Touch Screen Phones 4-Wire/ Built-in M205 Black",_x000D_
      "product_price": 268_x000D_
    },_x000D_
    "quantity": 2_x000D_
  },_x000D_
  {_x000D_
    "product": {_x000D_
      "product_name": "MGS Gears of War 2008 M450",_x000D_
      "product_price": 34_x000D_
    },_x000D_
    "quantity": 4_x000D_
  },_x000D_
  {_x000D_
    "product": {_x000D_
      "product_name": "Contoso Water Heater 4.3GPM M1250 Yellow",_x000D_
      "product_price": 877.5_x000D_
    },_x000D_
    "quantity": 6_x000D_
  }_x000D_
]</t>
  </si>
  <si>
    <t>[_x000D_
  {_x000D_
    "product": {_x000D_
      "product_name": "A. Datum SLR Camera X140 Pink",_x000D_
      "product_price": 627_x000D_
    },_x000D_
    "quantity": 3_x000D_
  },_x000D_
  {_x000D_
    "product": {_x000D_
      "product_name": "Contoso DVD 60 DVD Storage Binder L20 Red",_x000D_
      "product_price": 22.89_x000D_
    },_x000D_
    "quantity": 2_x000D_
  },_x000D_
  {_x000D_
    "product": {_x000D_
      "product_name": "Proseware Photo Inkjet Printer E290 Black",_x000D_
      "product_price": 102_x000D_
    },_x000D_
    "quantity": 4_x000D_
  },_x000D_
  {_x000D_
    "product": {_x000D_
      "product_name": "Contoso Water Heater 4.0GPM M1250 Grey",_x000D_
      "product_price": 791_x000D_
    },_x000D_
    "quantity": 2_x000D_
  }_x000D_
]</t>
  </si>
  <si>
    <t>[_x000D_
  {_x000D_
    "product": {_x000D_
      "product_name": "The Phone Company Finger Touch Screen Phones M30 Gold",_x000D_
      "product_price": 199_x000D_
    },_x000D_
    "quantity": 5_x000D_
  },_x000D_
  {_x000D_
    "product": {_x000D_
      "product_name": "NT Bluetooth Active Headphones E202 Red",_x000D_
      "product_price": 37.95_x000D_
    },_x000D_
    "quantity": 8_x000D_
  },_x000D_
  {_x000D_
    "product": {_x000D_
      "product_name": "WWI Desktop PC1.80 E1801 Brown",_x000D_
      "product_price": 269.9_x000D_
    },_x000D_
    "quantity": 1_x000D_
  }_x000D_
]</t>
  </si>
  <si>
    <t>[_x000D_
  {_x000D_
    "product": {_x000D_
      "product_name": "Contoso DVD 15-Inch Player Portable L200 White",_x000D_
      "product_price": 289.99_x000D_
    },_x000D_
    "quantity": 1_x000D_
  }_x000D_
]</t>
  </si>
  <si>
    <t>[_x000D_
  {_x000D_
    "product": {_x000D_
      "product_name": "MGS Age of Empires II: The Age of Kings E126",_x000D_
      "product_price": 46.8_x000D_
    },_x000D_
    "quantity": 2_x000D_
  },_x000D_
  {_x000D_
    "product": {_x000D_
      "product_name": "SV DVD 48 DVD Storage Binder M50 Silver",_x000D_
      "product_price": 17.99_x000D_
    },_x000D_
    "quantity": 3_x000D_
  }_x000D_
]</t>
  </si>
  <si>
    <t>[_x000D_
  {_x000D_
    "product": {_x000D_
      "product_name": "MGS Flight Simulator X M250",_x000D_
      "product_price": 70.13_x000D_
    },_x000D_
    "quantity": 1_x000D_
  }_x000D_
]</t>
  </si>
  <si>
    <t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t>
  </si>
  <si>
    <t>[_x000D_
  {_x000D_
    "product": {_x000D_
      "product_name": "Contoso Expandable 2-Handset Cordless Phone System M205 White",_x000D_
      "product_price": 40.19_x000D_
    },_x000D_
    "quantity": 2_x000D_
  },_x000D_
  {_x000D_
    "product": {_x000D_
      "product_name": "The Phone Company Touch Screen Phones 4-Wire/On-wall M302 Gold",_x000D_
      "product_price": 289_x000D_
    },_x000D_
    "quantity": 1_x000D_
  }_x000D_
]</t>
  </si>
  <si>
    <t>[_x000D_
  {_x000D_
    "product": {_x000D_
      "product_name": "SV DVD 60 DVD Storage Binder L20 Black",_x000D_
      "product_price": 22.89_x000D_
    },_x000D_
    "quantity": 2_x000D_
  },_x000D_
  {_x000D_
    "product": {_x000D_
      "product_name": "WWI 2GB Pulse Smart pen M100 White",_x000D_
      "product_price": 199.95_x000D_
    },_x000D_
    "quantity": 2_x000D_
  },_x000D_
  {_x000D_
    "product": {_x000D_
      "product_name": "Contoso Travel Charger for S-Series Battery E302 Black",_x000D_
      "product_price": 59.99_x000D_
    },_x000D_
    "quantity": 1_x000D_
  },_x000D_
  {_x000D_
    "product": {_x000D_
      "product_name": "MGS Hand Games women M400 Silver",_x000D_
      "product_price": 8.99_x000D_
    },_x000D_
    "quantity": 3_x000D_
  }_x000D_
]</t>
  </si>
  <si>
    <t>[_x000D_
  {_x000D_
    "product": {_x000D_
      "product_name": "Adventure Works 13 Color TV E25 White",_x000D_
      "product_price": 119.99_x000D_
    },_x000D_
    "quantity": 3_x000D_
  },_x000D_
  {_x000D_
    "product": {_x000D_
      "product_name": "MGS Hand Games for 12-16 boys E600 Yellow",_x000D_
      "product_price": 4.99_x000D_
    },_x000D_
    "quantity": 2_x000D_
  },_x000D_
  {_x000D_
    "product": {_x000D_
      "product_name": "WWI 1GB Digital Voice Recorder Pen E100 Red",_x000D_
      "product_price": 156_x000D_
    },_x000D_
    "quantity": 4_x000D_
  }_x000D_
]</t>
  </si>
  <si>
    <t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t>
  </si>
  <si>
    <t>[_x000D_
  {_x000D_
    "product": {_x000D_
      "product_name": "MGS Hand Games men M300 Red",_x000D_
      "product_price": 6.89_x000D_
    },_x000D_
    "quantity": 3_x000D_
  },_x000D_
  {_x000D_
    "product": {_x000D_
      "product_name": "WWI Desktop PC2.33 X2330 Silver",_x000D_
      "product_price": 919_x000D_
    },_x000D_
    "quantity": 6_x000D_
  }_x000D_
]</t>
  </si>
  <si>
    <t>[_x000D_
  {_x000D_
    "product": {_x000D_
      "product_name": "MGS Train Simulator E124",_x000D_
      "product_price": 50.54_x000D_
    },_x000D_
    "quantity": 1_x000D_
  }_x000D_
]</t>
  </si>
  <si>
    <t>[_x000D_
  {_x000D_
    "product": {_x000D_
      "product_name": "Contoso 4G MP3 Player E400 Black",_x000D_
      "product_price": 59.99_x000D_
    },_x000D_
    "quantity": 2_x000D_
  }_x000D_
]</t>
  </si>
  <si>
    <t>[_x000D_
  {_x000D_
    "product": {_x000D_
      "product_name": "Contoso Conversion Lens M550 Blue",_x000D_
      "product_price": 205_x000D_
    },_x000D_
    "quantity": 6_x000D_
  },_x000D_
  {_x000D_
    "product": {_x000D_
      "product_name": "The Phone Company Touch Screen Phones - CRT M11 Grey",_x000D_
      "product_price": 189_x000D_
    },_x000D_
    "quantity": 1_x000D_
  },_x000D_
  {_x000D_
    "product": {_x000D_
      "product_name": "SV DVD Player M120 White",_x000D_
      "product_price": 58.99_x000D_
    },_x000D_
    "quantity": 4_x000D_
  }_x000D_
]</t>
  </si>
  <si>
    <t>[_x000D_
  {_x000D_
    "product": {_x000D_
      "product_name": "Adventure Works 13 Color TV E25 Silver",_x000D_
      "product_price": 119.99_x000D_
    },_x000D_
    "quantity": 3_x000D_
  }_x000D_
]</t>
  </si>
  <si>
    <t>[_x000D_
  {_x000D_
    "product": {_x000D_
      "product_name": "Adventure Works 40 LCD HDTV M690 Black",_x000D_
      "product_price": 1184.97_x000D_
    },_x000D_
    "quantity": 1_x000D_
  },_x000D_
  {_x000D_
    "product": {_x000D_
      "product_name": "MGS Zoo Tycoon 2: African Adventure 2008 E136",_x000D_
      "product_price": 43_x000D_
    },_x000D_
    "quantity": 1_x000D_
  }_x000D_
]</t>
  </si>
  <si>
    <t>[_x000D_
  {_x000D_
    "product": {_x000D_
      "product_name": "Contoso Phone Tough Skin Case E140 Black",_x000D_
      "product_price": 23.72_x000D_
    },_x000D_
    "quantity": 2_x000D_
  }_x000D_
]</t>
  </si>
  <si>
    <t>[_x000D_
  {_x000D_
    "product": {_x000D_
      "product_name": "Reusable Phone Screen Protector E120",_x000D_
      "product_price": 2.94_x000D_
    },_x000D_
    "quantity": 4_x000D_
  },_x000D_
  {_x000D_
    "product": {_x000D_
      "product_name": "MGS Age of Empires, 2009 E182",_x000D_
      "product_price": 32_x000D_
    },_x000D_
    "quantity": 7_x000D_
  }_x000D_
]</t>
  </si>
  <si>
    <t>[_x000D_
  {_x000D_
    "product": {_x000D_
      "product_name": "SV DVD 14-Inch Player Portable L100 Silver",_x000D_
      "product_price": 259.99_x000D_
    },_x000D_
    "quantity": 4_x000D_
  },_x000D_
  {_x000D_
    "product": {_x000D_
      "product_name": "Proseware Office Jet Wireless All-in-One Inkjet Printer M600 Grey",_x000D_
      "product_price": 190_x000D_
    },_x000D_
    "quantity": 4_x000D_
  },_x000D_
  {_x000D_
    "product": {_x000D_
      "product_name": "MGS MechWarrior 4: Vengeance X800",_x000D_
      "product_price": 104.89_x000D_
    },_x000D_
    "quantity": 1_x000D_
  }_x000D_
]</t>
  </si>
  <si>
    <t>[_x000D_
  {_x000D_
    "product": {_x000D_
      "product_name": "MGS Kings &amp; Myths: The Age Collection2009 E147",_x000D_
      "product_price": 43_x000D_
    },_x000D_
    "quantity": 6_x000D_
  }_x000D_
]</t>
  </si>
  <si>
    <t>[_x000D_
  {_x000D_
    "product": {_x000D_
      "product_name": "NT Wireless Transmitter and Bluetooth Headphones M150 Red",_x000D_
      "product_price": 149.99_x000D_
    },_x000D_
    "quantity": 2_x000D_
  }_x000D_
]</t>
  </si>
  <si>
    <t>[_x000D_
  {_x000D_
    "product": {_x000D_
      "product_name": "WWI Desktop PC1.80 E1800 Brown",_x000D_
      "product_price": 229.9_x000D_
    },_x000D_
    "quantity": 3_x000D_
  },_x000D_
  {_x000D_
    "product": {_x000D_
      "product_name": "Contoso SLR Camera X143 Silver",_x000D_
      "product_price": 646_x000D_
    },_x000D_
    "quantity": 3_x000D_
  },_x000D_
  {_x000D_
    "product": {_x000D_
      "product_name": "A. Datum Ultra Compact Digital Camera M190 Silver",_x000D_
      "product_price": 165_x000D_
    },_x000D_
    "quantity": 7_x000D_
  }_x000D_
]</t>
  </si>
  <si>
    <t>[_x000D_
  {_x000D_
    "product": {_x000D_
      "product_name": "The Phone Company PDA Palm 4.7 inch L850 Silver",_x000D_
      "product_price": 398_x000D_
    },_x000D_
    "quantity": 1_x000D_
  },_x000D_
  {_x000D_
    "product": {_x000D_
      "product_name": "WWI Desktop PC1.80 E1800 White",_x000D_
      "product_price": 229.9_x000D_
    },_x000D_
    "quantity": 8_x000D_
  },_x000D_
  {_x000D_
    "product": {_x000D_
      "product_name": "WWI Stereo Bluetooth Headphones New Generation M370 Orange",_x000D_
      "product_price": 132.99_x000D_
    },_x000D_
    "quantity": 3_x000D_
  }_x000D_
]</t>
  </si>
  <si>
    <t>[_x000D_
  {_x000D_
    "product": {_x000D_
      "product_name": "NT Wireless Transmitter and Bluetooth Headphones M150 Red",_x000D_
      "product_price": 149.99_x000D_
    },_x000D_
    "quantity": 1_x000D_
  },_x000D_
  {_x000D_
    "product": {_x000D_
      "product_name": "MGS Freelancer E113",_x000D_
      "product_price": 28_x000D_
    },_x000D_
    "quantity": 2_x000D_
  },_x000D_
  {_x000D_
    "product": {_x000D_
      "product_name": "Contoso Conversion Lens M550 Silver",_x000D_
      "product_price": 205_x000D_
    },_x000D_
    "quantity": 1_x000D_
  }_x000D_
]</t>
  </si>
  <si>
    <t>[_x000D_
  {_x000D_
    "product": {_x000D_
      "product_name": "WWI 1GBPulse Smart pen E50 Black",_x000D_
      "product_price": 149.95_x000D_
    },_x000D_
    "quantity": 1_x000D_
  },_x000D_
  {_x000D_
    "product": {_x000D_
      "product_name": "Contoso DVD Player M100 Black",_x000D_
      "product_price": 56.99_x000D_
    },_x000D_
    "quantity": 3_x000D_
  }_x000D_
]</t>
  </si>
  <si>
    <t>[_x000D_
  {_x000D_
    "product": {_x000D_
      "product_name": "Adventure Works 19 Color Digital TV E35 Black",_x000D_
      "product_price": 143.4_x000D_
    },_x000D_
    "quantity": 4_x000D_
  },_x000D_
  {_x000D_
    "product": {_x000D_
      "product_name": "Adventure Works Desktop PC1.60 ED160 Brown",_x000D_
      "product_price": 269.95_x000D_
    },_x000D_
    "quantity": 3_x000D_
  }_x000D_
]</t>
  </si>
  <si>
    <t>[_x000D_
  {_x000D_
    "product": {_x000D_
      "product_name": "Contoso Finger Touch Screen Phones M30 Black",_x000D_
      "product_price": 199_x000D_
    },_x000D_
    "quantity": 7_x000D_
  }_x000D_
]</t>
  </si>
  <si>
    <t>[_x000D_
  {_x000D_
    "product": {_x000D_
      "product_name": "The Phone Company Microsoft Windows Mobile M200 White",_x000D_
      "product_price": 229_x000D_
    },_x000D_
    "quantity": 1_x000D_
  },_x000D_
  {_x000D_
    "product": {_x000D_
      "product_name": "Fabrikam Microwave 1.5CuFt X1100 Black",_x000D_
      "product_price": 665.94_x000D_
    },_x000D_
    "quantity": 8_x000D_
  }_x000D_
]</t>
  </si>
  <si>
    <t>[_x000D_
  {_x000D_
    "product": {_x000D_
      "product_name": "Proseware High Speed Laser M2000 Green",_x000D_
      "product_price": 209_x000D_
    },_x000D_
    "quantity": 9_x000D_
  }_x000D_
]</t>
  </si>
  <si>
    <t>[_x000D_
  {_x000D_
    "product": {_x000D_
      "product_name": "A. Datum SLR Camera 35 X358 Orange",_x000D_
      "product_price": 588_x000D_
    },_x000D_
    "quantity": 9_x000D_
  },_x000D_
  {_x000D_
    "product": {_x000D_
      "product_name": "Adventure Works Desktop PC1.80 ED182 Brown",_x000D_
      "product_price": 499.9_x000D_
    },_x000D_
    "quantity": 4_x000D_
  }_x000D_
]</t>
  </si>
  <si>
    <t>[_x000D_
  {_x000D_
    "product": {_x000D_
      "product_name": "Contoso DVD 38 DVD Storage Binder E25 Red",_x000D_
      "product_price": 9.99_x000D_
    },_x000D_
    "quantity": 8_x000D_
  },_x000D_
  {_x000D_
    "product": {_x000D_
      "product_name": "MGS Hand Games for students E400 Black",_x000D_
      "product_price": 6.99_x000D_
    },_x000D_
    "quantity": 7_x000D_
  },_x000D_
  {_x000D_
    "product": {_x000D_
      "product_name": "The Phone Company Smart phones Unlocked International M800 Grey",_x000D_
      "product_price": 310_x000D_
    },_x000D_
    "quantity": 7_x000D_
  },_x000D_
  {_x000D_
    "product": {_x000D_
      "product_name": "Fabrikam Business Videographer 1'' 25mm M600 Black",_x000D_
      "product_price": 888_x000D_
    },_x000D_
    "quantity": 3_x000D_
  }_x000D_
]</t>
  </si>
  <si>
    <t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t>
  </si>
  <si>
    <t>[_x000D_
  {_x000D_
    "product": {_x000D_
      "product_name": "WWI 4GB Video Recording Pen X200 Pink",_x000D_
      "product_price": 296_x000D_
    },_x000D_
    "quantity": 5_x000D_
  },_x000D_
  {_x000D_
    "product": {_x000D_
      "product_name": "Contoso SLR Camera 35 X358 Pink",_x000D_
      "product_price": 568_x000D_
    },_x000D_
    "quantity": 7_x000D_
  }_x000D_
]</t>
  </si>
  <si>
    <t>[_x000D_
  {_x000D_
    "product": {_x000D_
      "product_name": "WWI LCD24 X300 White",_x000D_
      "product_price": 819_x000D_
    },_x000D_
    "quantity": 4_x000D_
  },_x000D_
  {_x000D_
    "product": {_x000D_
      "product_name": "WWI Wireless Transmitter and Bluetooth Headphones X250 Silver",_x000D_
      "product_price": 249.99_x000D_
    },_x000D_
    "quantity": 1_x000D_
  }_x000D_
]</t>
  </si>
  <si>
    <t>[_x000D_
  {_x000D_
    "product": {_x000D_
      "product_name": "Contoso DVD Recorder L200 Black",_x000D_
      "product_price": 219_x000D_
    },_x000D_
    "quantity": 1_x000D_
  }_x000D_
]</t>
  </si>
  <si>
    <t>[_x000D_
  {_x000D_
    "product": {_x000D_
      "product_name": "Proseware LCD19W M100 White",_x000D_
      "product_price": 179_x000D_
    },_x000D_
    "quantity": 1_x000D_
  }_x000D_
]</t>
  </si>
  <si>
    <t>[_x000D_
  {_x000D_
    "product": {_x000D_
      "product_name": "NT Wireless Bluetooth Stereo Headphones E302 Silver",_x000D_
      "product_price": 40.55_x000D_
    },_x000D_
    "quantity": 5_x000D_
  }_x000D_
]</t>
  </si>
  <si>
    <t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t>
  </si>
  <si>
    <t>[_x000D_
  {_x000D_
    "product": {_x000D_
      "product_name": "Contoso Touch Screen Phones Infrared M901 Black",_x000D_
      "product_price": 300_x000D_
    },_x000D_
    "quantity": 6_x000D_
  },_x000D_
  {_x000D_
    "product": {_x000D_
      "product_name": "SV 22xDVD M600 Silver",_x000D_
      "product_price": 129.9_x000D_
    },_x000D_
    "quantity": 10_x000D_
  }_x000D_
]</t>
  </si>
  <si>
    <t>[_x000D_
  {_x000D_
    "product": {_x000D_
      "product_name": "WWI Desktop PC1.60 E1600 Black",_x000D_
      "product_price": 219.95_x000D_
    },_x000D_
    "quantity": 5_x000D_
  },_x000D_
  {_x000D_
    "product": {_x000D_
      "product_name": "Contoso DVD Movies E100 Yellow",_x000D_
      "product_price": 12.99_x000D_
    },_x000D_
    "quantity": 4_x000D_
  },_x000D_
  {_x000D_
    "product": {_x000D_
      "product_name": "Contoso Touch Screen Phones  - LCD M12 Black",_x000D_
      "product_price": 200_x000D_
    },_x000D_
    "quantity": 2_x000D_
  }_x000D_
]</t>
  </si>
  <si>
    <t>[_x000D_
  {_x000D_
    "product": {_x000D_
      "product_name": "Contoso Mini Battery Charger Kit E320 White",_x000D_
      "product_price": 24.99_x000D_
    },_x000D_
    "quantity": 1_x000D_
  },_x000D_
  {_x000D_
    "product": {_x000D_
      "product_name": "Proseware Office Jet Wireless All-in-One Inkjet Printer M600 White",_x000D_
      "product_price": 190_x000D_
    },_x000D_
    "quantity": 4_x000D_
  },_x000D_
  {_x000D_
    "product": {_x000D_
      "product_name": "Contoso DVD Player M130 Grey",_x000D_
      "product_price": 59.99_x000D_
    },_x000D_
    "quantity": 1_x000D_
  }_x000D_
]</t>
  </si>
  <si>
    <t>[_x000D_
  {_x000D_
    "product": {_x000D_
      "product_name": "WWI 2GB Pulse Smart pen M100 White",_x000D_
      "product_price": 199.95_x000D_
    },_x000D_
    "quantity": 3_x000D_
  }_x000D_
]</t>
  </si>
  <si>
    <t>[_x000D_
  {_x000D_
    "product": {_x000D_
      "product_name": "Adventure Works Desktop PC2.30 MD230 Black",_x000D_
      "product_price": 599_x000D_
    },_x000D_
    "quantity": 3_x000D_
  },_x000D_
  {_x000D_
    "product": {_x000D_
      "product_name": "Headphone Adapter for Contoso Phone E130 White",_x000D_
      "product_price": 9.99_x000D_
    },_x000D_
    "quantity": 2_x000D_
  }_x000D_
]</t>
  </si>
  <si>
    <t>[_x000D_
  {_x000D_
    "product": {_x000D_
      "product_name": "Contoso Phone Tough Skin Case E140 White",_x000D_
      "product_price": 23.72_x000D_
    },_x000D_
    "quantity": 1_x000D_
  },_x000D_
  {_x000D_
    "product": {_x000D_
      "product_name": "Adventure Works Desktop PC2.33 XD233 Brown",_x000D_
      "product_price": 969_x000D_
    },_x000D_
    "quantity": 10_x000D_
  }_x000D_
]</t>
  </si>
  <si>
    <t>[_x000D_
  {_x000D_
    "product": {_x000D_
      "product_name": "Contoso Digital Cameras Lightweight Tripod E316 White",_x000D_
      "product_price": 52.13_x000D_
    },_x000D_
    "quantity": 3_x000D_
  },_x000D_
  {_x000D_
    "product": {_x000D_
      "product_name": "Adventure Works LCD24 X300 Black",_x000D_
      "product_price": 819_x000D_
    },_x000D_
    "quantity": 3_x000D_
  }_x000D_
]</t>
  </si>
  <si>
    <t>[_x000D_
  {_x000D_
    "product": {_x000D_
      "product_name": "The Phone Company PDA GPS Phone 3.5 inch M910 Black",_x000D_
      "product_price": 268_x000D_
    },_x000D_
    "quantity": 9_x000D_
  }_x000D_
]</t>
  </si>
  <si>
    <t>[_x000D_
  {_x000D_
    "product": {_x000D_
      "product_name": "Adventure Works Desktop PC1.80 ED182 White",_x000D_
      "product_price": 499.9_x000D_
    },_x000D_
    "quantity": 8_x000D_
  },_x000D_
  {_x000D_
    "product": {_x000D_
      "product_name": "WWI Desktop PC3.0 M0300 Silver",_x000D_
      "product_price": 349_x000D_
    },_x000D_
    "quantity": 2_x000D_
  },_x000D_
  {_x000D_
    "product": {_x000D_
      "product_name": "SV DVD 38 DVD Storage Binder E25 Black",_x000D_
      "product_price": 9.99_x000D_
    },_x000D_
    "quantity": 1_x000D_
  }_x000D_
]</t>
  </si>
  <si>
    <t>[_x000D_
  {_x000D_
    "product": {_x000D_
      "product_name": "Fabrikam Laptop10.1 M0101 Silver",_x000D_
      "product_price": 384.9_x000D_
    },_x000D_
    "quantity": 4_x000D_
  },_x000D_
  {_x000D_
    "product": {_x000D_
      "product_name": "Adventure Works Desktop PC1.80 ED180 Brown",_x000D_
      "product_price": 369_x000D_
    },_x000D_
    "quantity": 1_x000D_
  },_x000D_
  {_x000D_
    "product": {_x000D_
      "product_name": "The Phone Company PDA Wifi 3.5-inch M200 Silver",_x000D_
      "product_price": 280_x000D_
    },_x000D_
    "quantity": 3_x000D_
  }_x000D_
]</t>
  </si>
  <si>
    <t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t>
  </si>
  <si>
    <t>[_x000D_
  {_x000D_
    "product": {_x000D_
      "product_name": "Contoso Pen Touch Screen Phones M320 Black",_x000D_
      "product_price": 290_x000D_
    },_x000D_
    "quantity": 1_x000D_
  }_x000D_
]</t>
  </si>
  <si>
    <t>[_x000D_
  {_x000D_
    "product": {_x000D_
      "product_name": "The Phone Company Smart phones without camera E100 Grey",_x000D_
      "product_price": 129_x000D_
    },_x000D_
    "quantity": 2_x000D_
  },_x000D_
  {_x000D_
    "product": {_x000D_
      "product_name": "The Phone Company PDA Phone Unlocked 3.7 inches M510 White",_x000D_
      "product_price": 238_x000D_
    },_x000D_
    "quantity": 4_x000D_
  },_x000D_
  {_x000D_
    "product": {_x000D_
      "product_name": "Fabrikam Laptop10.1 M0101 Silver",_x000D_
      "product_price": 384.9_x000D_
    },_x000D_
    "quantity": 3_x000D_
  },_x000D_
  {_x000D_
    "product": {_x000D_
      "product_name": "SV DVD 14-Inch Player Portable L100 White",_x000D_
      "product_price": 259.99_x000D_
    },_x000D_
    "quantity": 4_x000D_
  }_x000D_
]</t>
  </si>
  <si>
    <t>[_x000D_
  {_x000D_
    "product": {_x000D_
      "product_name": "WWI Desktop PC1.80 E1801 Black",_x000D_
      "product_price": 269.9_x000D_
    },_x000D_
    "quantity": 10_x000D_
  }_x000D_
]</t>
  </si>
  <si>
    <t>item_count</t>
  </si>
  <si>
    <t>acu_items</t>
  </si>
  <si>
    <t>No</t>
  </si>
  <si>
    <t>Q</t>
  </si>
  <si>
    <t>Price</t>
  </si>
  <si>
    <t>Total</t>
  </si>
  <si>
    <t>Product Name</t>
  </si>
  <si>
    <t>Item Secuence</t>
  </si>
  <si>
    <t>Line level item</t>
  </si>
  <si>
    <t>ON</t>
  </si>
  <si>
    <t>Odate</t>
  </si>
  <si>
    <t>Fulfillment</t>
  </si>
  <si>
    <t>Item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</si>
</sst>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1" formatCode="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C9D67D-61A3-4832-82BA-7967880A080F}" autoFormatId="16" applyNumberFormats="0" applyBorderFormats="0" applyFontFormats="0" applyPatternFormats="0" applyAlignmentFormats="0" applyWidthHeightFormats="0">
  <queryTableRefresh nextId="9" unboundColumnsRight="2">
    <queryTableFields count="6">
      <queryTableField id="1" name="order_number" tableColumnId="1"/>
      <queryTableField id="2" name="order_date" tableColumnId="2"/>
      <queryTableField id="3" name="line_items" tableColumnId="3"/>
      <queryTableField id="4" name="fulfillment" tableColumnId="4"/>
      <queryTableField id="5" dataBound="0" tableColumnId="5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BF1CB-4487-4989-9C89-AFEC476903AF}" name="sales_orders" displayName="sales_orders" ref="A1:F101" tableType="queryTable" totalsRowShown="0">
  <autoFilter ref="A1:F101" xr:uid="{DB8BF1CB-4487-4989-9C89-AFEC476903AF}"/>
  <tableColumns count="6">
    <tableColumn id="1" xr3:uid="{1DDE4B07-2054-4A82-9AF0-F91159983325}" uniqueName="1" name="order_number" queryTableFieldId="1"/>
    <tableColumn id="2" xr3:uid="{FD9BB071-A634-41D1-A764-2F0FF85B4E32}" uniqueName="2" name="order_date" queryTableFieldId="2" dataDxfId="7"/>
    <tableColumn id="3" xr3:uid="{11D198A6-08E7-41E4-AA4C-3E98048AEC26}" uniqueName="3" name="line_items" queryTableFieldId="3" dataDxfId="6"/>
    <tableColumn id="4" xr3:uid="{6A67CD70-C772-4065-9302-772132F0FC68}" uniqueName="4" name="fulfillment" queryTableFieldId="4" dataDxfId="5"/>
    <tableColumn id="5" xr3:uid="{B1F8FF6F-59CF-4BED-B28E-A5ED8AD65166}" uniqueName="5" name="item_count" queryTableFieldId="5" dataDxfId="4">
      <calculatedColumnFormula>(LEN(sales_orders[[#This Row],[line_items]])-LEN(SUBSTITUTE(sales_orders[[#This Row],[line_items]],"""product_name""","")))/LEN("""product_name""")</calculatedColumnFormula>
    </tableColumn>
    <tableColumn id="8" xr3:uid="{27DD58ED-FA2B-4844-B155-D0D10111C2FE}" uniqueName="8" name="acu_items" queryTableFieldId="8" dataDxfId="3">
      <calculatedColumnFormula array="1">SUM(INDEX(sales_orders[item_count],1):INDEX(sales_orders[item_count],ROW()-ROW(sales_orders[#Headers])))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FDA191-C08D-476D-9DDC-ABBFE916A8C0}" name="Tabla4" displayName="Tabla4" ref="A1:K231" totalsRowShown="0">
  <autoFilter ref="A1:K231" xr:uid="{ABFDA191-C08D-476D-9DDC-ABBFE916A8C0}"/>
  <tableColumns count="11">
    <tableColumn id="1" xr3:uid="{62B5F591-2DB3-4B5F-995B-E890B22A7985}" name="No"/>
    <tableColumn id="2" xr3:uid="{8DDCD3A3-BD38-4E7C-9235-7D3DDC4F5073}" name="Item Secuence">
      <calculatedColumnFormula>_xlfn.XMATCH(A2,sales_orders[acu_items],1)</calculatedColumnFormula>
    </tableColumn>
    <tableColumn id="3" xr3:uid="{15CFEF23-DD92-4CA2-B39C-10693C836B34}" name="Line level item">
      <calculatedColumnFormula array="1">A2-IF(B2=1,0,INDEX(sales_orders[acu_items],B2-1))</calculatedColumnFormula>
    </tableColumn>
    <tableColumn id="4" xr3:uid="{21FA2A08-8946-4AEF-9D26-732FE4C25EAD}" name="ON">
      <calculatedColumnFormula array="1">INDEX(sales_orders[order_number],B2)</calculatedColumnFormula>
    </tableColumn>
    <tableColumn id="5" xr3:uid="{5579B814-4B0A-4FEC-BAF2-18C17BEF16DD}" name="Odate" dataDxfId="2">
      <calculatedColumnFormula array="1">INDEX(sales_orders[order_date],B2)</calculatedColumnFormula>
    </tableColumn>
    <tableColumn id="6" xr3:uid="{99062AB8-1210-4148-9A7D-0B61B743DC4C}" name="Fulfillment">
      <calculatedColumnFormula array="1">INDEX(sales_orders[fulfillment],B2)</calculatedColumnFormula>
    </tableColumn>
    <tableColumn id="7" xr3:uid="{7C5F1DE5-2401-4564-8A3D-634B8555EEB3}" name="Item Block">
      <calculatedColumnFormula array="1">INDEX(sales_orders[line_items],B2)</calculatedColumnFormula>
    </tableColumn>
    <tableColumn id="8" xr3:uid="{14A10A74-903D-46F1-A172-D2BBE759AEBB}" name="Product Name">
      <calculatedColumnFormula>_xlfn.TEXTBEFORE(_xlfn.TEXTAFTER(G2,"""product_name"": """,C2),"""")</calculatedColumnFormula>
    </tableColumn>
    <tableColumn id="9" xr3:uid="{320A9EED-330D-4CCA-966A-8806494C5E3F}" name="Q" dataDxfId="1">
      <calculatedColumnFormula>--TRIM(SUBSTITUTE(SUBSTITUTE(_xlfn.TEXTBEFORE(_xlfn.TEXTAFTER(G2,"""quantity"": ",C2),"}"),CHAR(10),""),CHAR(13),""))</calculatedColumnFormula>
    </tableColumn>
    <tableColumn id="10" xr3:uid="{D96D79C9-4BF5-4A2B-8E94-61DCC8739EC7}" name="Price" dataDxfId="0">
      <calculatedColumnFormula>--TRIM(SUBSTITUTE(SUBSTITUTE(_xlfn.TEXTBEFORE(_xlfn.TEXTAFTER(G2,"""product_price"": ",C2),"}"),CHAR(10),""),CHAR(13),""))</calculatedColumnFormula>
    </tableColumn>
    <tableColumn id="11" xr3:uid="{0B028846-2E78-4BCC-9529-621578F966EE}" name="Total">
      <calculatedColumnFormula>+I2*J2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2C5B-C517-4E87-AE75-7D9CD36A7AD7}">
  <dimension ref="A1:F101"/>
  <sheetViews>
    <sheetView tabSelected="1" workbookViewId="0">
      <selection activeCell="B2" sqref="B2"/>
    </sheetView>
  </sheetViews>
  <sheetFormatPr baseColWidth="10" defaultRowHeight="14.4" x14ac:dyDescent="0.3"/>
  <cols>
    <col min="1" max="1" width="14.88671875" bestFit="1" customWidth="1"/>
    <col min="2" max="2" width="12.21875" bestFit="1" customWidth="1"/>
    <col min="3" max="3" width="80.88671875" bestFit="1" customWidth="1"/>
    <col min="4" max="4" width="1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105</v>
      </c>
      <c r="F1" t="s">
        <v>106</v>
      </c>
    </row>
    <row r="2" spans="1:6" x14ac:dyDescent="0.3">
      <c r="A2">
        <v>387005</v>
      </c>
      <c r="B2" s="1">
        <v>42391</v>
      </c>
      <c r="C2" t="s">
        <v>4</v>
      </c>
      <c r="D2" t="s">
        <v>5</v>
      </c>
      <c r="E2">
        <f>(LEN(sales_orders[[#This Row],[line_items]])-LEN(SUBSTITUTE(sales_orders[[#This Row],[line_items]],"""product_name""","")))/LEN("""product_name""")</f>
        <v>3</v>
      </c>
      <c r="F2" s="2" cm="1">
        <f t="array" ref="F2">SUM(INDEX(sales_orders[item_count],1):INDEX(sales_orders[item_count],ROW()-ROW(sales_orders[#Headers])))</f>
        <v>3</v>
      </c>
    </row>
    <row r="3" spans="1:6" x14ac:dyDescent="0.3">
      <c r="A3">
        <v>395005</v>
      </c>
      <c r="B3" s="1">
        <v>42399</v>
      </c>
      <c r="C3" t="s">
        <v>6</v>
      </c>
      <c r="D3" t="s">
        <v>5</v>
      </c>
      <c r="E3">
        <f>(LEN(sales_orders[[#This Row],[line_items]])-LEN(SUBSTITUTE(sales_orders[[#This Row],[line_items]],"""product_name""","")))/LEN("""product_name""")</f>
        <v>2</v>
      </c>
      <c r="F3" s="2" cm="1">
        <f t="array" ref="F3">SUM(INDEX(sales_orders[item_count],1):INDEX(sales_orders[item_count],ROW()-ROW(sales_orders[#Headers])))</f>
        <v>5</v>
      </c>
    </row>
    <row r="4" spans="1:6" x14ac:dyDescent="0.3">
      <c r="A4">
        <v>423011</v>
      </c>
      <c r="B4" s="1">
        <v>42427</v>
      </c>
      <c r="C4" t="s">
        <v>7</v>
      </c>
      <c r="D4" t="s">
        <v>5</v>
      </c>
      <c r="E4">
        <f>(LEN(sales_orders[[#This Row],[line_items]])-LEN(SUBSTITUTE(sales_orders[[#This Row],[line_items]],"""product_name""","")))/LEN("""product_name""")</f>
        <v>1</v>
      </c>
      <c r="F4" s="2" cm="1">
        <f t="array" ref="F4">SUM(INDEX(sales_orders[item_count],1):INDEX(sales_orders[item_count],ROW()-ROW(sales_orders[#Headers])))</f>
        <v>6</v>
      </c>
    </row>
    <row r="5" spans="1:6" x14ac:dyDescent="0.3">
      <c r="A5">
        <v>600006</v>
      </c>
      <c r="B5" s="1">
        <v>42604</v>
      </c>
      <c r="C5" t="s">
        <v>8</v>
      </c>
      <c r="D5" t="s">
        <v>9</v>
      </c>
      <c r="E5">
        <f>(LEN(sales_orders[[#This Row],[line_items]])-LEN(SUBSTITUTE(sales_orders[[#This Row],[line_items]],"""product_name""","")))/LEN("""product_name""")</f>
        <v>4</v>
      </c>
      <c r="F5" s="2" cm="1">
        <f t="array" ref="F5">SUM(INDEX(sales_orders[item_count],1):INDEX(sales_orders[item_count],ROW()-ROW(sales_orders[#Headers])))</f>
        <v>10</v>
      </c>
    </row>
    <row r="6" spans="1:6" x14ac:dyDescent="0.3">
      <c r="A6">
        <v>652002</v>
      </c>
      <c r="B6" s="1">
        <v>42656</v>
      </c>
      <c r="C6" t="s">
        <v>10</v>
      </c>
      <c r="D6" t="s">
        <v>5</v>
      </c>
      <c r="E6">
        <f>(LEN(sales_orders[[#This Row],[line_items]])-LEN(SUBSTITUTE(sales_orders[[#This Row],[line_items]],"""product_name""","")))/LEN("""product_name""")</f>
        <v>1</v>
      </c>
      <c r="F6" s="2" cm="1">
        <f t="array" ref="F6">SUM(INDEX(sales_orders[item_count],1):INDEX(sales_orders[item_count],ROW()-ROW(sales_orders[#Headers])))</f>
        <v>11</v>
      </c>
    </row>
    <row r="7" spans="1:6" x14ac:dyDescent="0.3">
      <c r="A7">
        <v>666011</v>
      </c>
      <c r="B7" s="1">
        <v>42670</v>
      </c>
      <c r="C7" t="s">
        <v>11</v>
      </c>
      <c r="D7" t="s">
        <v>5</v>
      </c>
      <c r="E7">
        <f>(LEN(sales_orders[[#This Row],[line_items]])-LEN(SUBSTITUTE(sales_orders[[#This Row],[line_items]],"""product_name""","")))/LEN("""product_name""")</f>
        <v>3</v>
      </c>
      <c r="F7" s="2" cm="1">
        <f t="array" ref="F7">SUM(INDEX(sales_orders[item_count],1):INDEX(sales_orders[item_count],ROW()-ROW(sales_orders[#Headers])))</f>
        <v>14</v>
      </c>
    </row>
    <row r="8" spans="1:6" x14ac:dyDescent="0.3">
      <c r="A8">
        <v>701003</v>
      </c>
      <c r="B8" s="1">
        <v>42705</v>
      </c>
      <c r="C8" t="s">
        <v>12</v>
      </c>
      <c r="D8" t="s">
        <v>5</v>
      </c>
      <c r="E8">
        <f>(LEN(sales_orders[[#This Row],[line_items]])-LEN(SUBSTITUTE(sales_orders[[#This Row],[line_items]],"""product_name""","")))/LEN("""product_name""")</f>
        <v>1</v>
      </c>
      <c r="F8" s="2" cm="1">
        <f t="array" ref="F8">SUM(INDEX(sales_orders[item_count],1):INDEX(sales_orders[item_count],ROW()-ROW(sales_orders[#Headers])))</f>
        <v>15</v>
      </c>
    </row>
    <row r="9" spans="1:6" x14ac:dyDescent="0.3">
      <c r="A9">
        <v>728013</v>
      </c>
      <c r="B9" s="1">
        <v>42732</v>
      </c>
      <c r="C9" t="s">
        <v>13</v>
      </c>
      <c r="D9" t="s">
        <v>5</v>
      </c>
      <c r="E9">
        <f>(LEN(sales_orders[[#This Row],[line_items]])-LEN(SUBSTITUTE(sales_orders[[#This Row],[line_items]],"""product_name""","")))/LEN("""product_name""")</f>
        <v>3</v>
      </c>
      <c r="F9" s="2" cm="1">
        <f t="array" ref="F9">SUM(INDEX(sales_orders[item_count],1):INDEX(sales_orders[item_count],ROW()-ROW(sales_orders[#Headers])))</f>
        <v>18</v>
      </c>
    </row>
    <row r="10" spans="1:6" x14ac:dyDescent="0.3">
      <c r="A10">
        <v>744000</v>
      </c>
      <c r="B10" s="1">
        <v>42748</v>
      </c>
      <c r="C10" t="s">
        <v>14</v>
      </c>
      <c r="D10" t="s">
        <v>5</v>
      </c>
      <c r="E10">
        <f>(LEN(sales_orders[[#This Row],[line_items]])-LEN(SUBSTITUTE(sales_orders[[#This Row],[line_items]],"""product_name""","")))/LEN("""product_name""")</f>
        <v>4</v>
      </c>
      <c r="F10" s="2" cm="1">
        <f t="array" ref="F10">SUM(INDEX(sales_orders[item_count],1):INDEX(sales_orders[item_count],ROW()-ROW(sales_orders[#Headers])))</f>
        <v>22</v>
      </c>
    </row>
    <row r="11" spans="1:6" x14ac:dyDescent="0.3">
      <c r="A11">
        <v>755003</v>
      </c>
      <c r="B11" s="1">
        <v>42759</v>
      </c>
      <c r="C11" t="s">
        <v>15</v>
      </c>
      <c r="D11" t="s">
        <v>9</v>
      </c>
      <c r="E11">
        <f>(LEN(sales_orders[[#This Row],[line_items]])-LEN(SUBSTITUTE(sales_orders[[#This Row],[line_items]],"""product_name""","")))/LEN("""product_name""")</f>
        <v>3</v>
      </c>
      <c r="F11" s="2" cm="1">
        <f t="array" ref="F11">SUM(INDEX(sales_orders[item_count],1):INDEX(sales_orders[item_count],ROW()-ROW(sales_orders[#Headers])))</f>
        <v>25</v>
      </c>
    </row>
    <row r="12" spans="1:6" x14ac:dyDescent="0.3">
      <c r="A12">
        <v>786002</v>
      </c>
      <c r="B12" s="1">
        <v>42790</v>
      </c>
      <c r="C12" t="s">
        <v>16</v>
      </c>
      <c r="D12" t="s">
        <v>5</v>
      </c>
      <c r="E12">
        <f>(LEN(sales_orders[[#This Row],[line_items]])-LEN(SUBSTITUTE(sales_orders[[#This Row],[line_items]],"""product_name""","")))/LEN("""product_name""")</f>
        <v>1</v>
      </c>
      <c r="F12" s="2" cm="1">
        <f t="array" ref="F12">SUM(INDEX(sales_orders[item_count],1):INDEX(sales_orders[item_count],ROW()-ROW(sales_orders[#Headers])))</f>
        <v>26</v>
      </c>
    </row>
    <row r="13" spans="1:6" x14ac:dyDescent="0.3">
      <c r="A13">
        <v>799005</v>
      </c>
      <c r="B13" s="1">
        <v>42803</v>
      </c>
      <c r="C13" t="s">
        <v>17</v>
      </c>
      <c r="D13" t="s">
        <v>5</v>
      </c>
      <c r="E13">
        <f>(LEN(sales_orders[[#This Row],[line_items]])-LEN(SUBSTITUTE(sales_orders[[#This Row],[line_items]],"""product_name""","")))/LEN("""product_name""")</f>
        <v>1</v>
      </c>
      <c r="F13" s="2" cm="1">
        <f t="array" ref="F13">SUM(INDEX(sales_orders[item_count],1):INDEX(sales_orders[item_count],ROW()-ROW(sales_orders[#Headers])))</f>
        <v>27</v>
      </c>
    </row>
    <row r="14" spans="1:6" x14ac:dyDescent="0.3">
      <c r="A14">
        <v>911003</v>
      </c>
      <c r="B14" s="1">
        <v>42915</v>
      </c>
      <c r="C14" t="s">
        <v>18</v>
      </c>
      <c r="D14" t="s">
        <v>5</v>
      </c>
      <c r="E14">
        <f>(LEN(sales_orders[[#This Row],[line_items]])-LEN(SUBSTITUTE(sales_orders[[#This Row],[line_items]],"""product_name""","")))/LEN("""product_name""")</f>
        <v>2</v>
      </c>
      <c r="F14" s="2" cm="1">
        <f t="array" ref="F14">SUM(INDEX(sales_orders[item_count],1):INDEX(sales_orders[item_count],ROW()-ROW(sales_orders[#Headers])))</f>
        <v>29</v>
      </c>
    </row>
    <row r="15" spans="1:6" x14ac:dyDescent="0.3">
      <c r="A15">
        <v>1020007</v>
      </c>
      <c r="B15" s="1">
        <v>43024</v>
      </c>
      <c r="C15" t="s">
        <v>19</v>
      </c>
      <c r="D15" t="s">
        <v>5</v>
      </c>
      <c r="E15">
        <f>(LEN(sales_orders[[#This Row],[line_items]])-LEN(SUBSTITUTE(sales_orders[[#This Row],[line_items]],"""product_name""","")))/LEN("""product_name""")</f>
        <v>4</v>
      </c>
      <c r="F15" s="2" cm="1">
        <f t="array" ref="F15">SUM(INDEX(sales_orders[item_count],1):INDEX(sales_orders[item_count],ROW()-ROW(sales_orders[#Headers])))</f>
        <v>33</v>
      </c>
    </row>
    <row r="16" spans="1:6" x14ac:dyDescent="0.3">
      <c r="A16">
        <v>1023001</v>
      </c>
      <c r="B16" s="1">
        <v>43027</v>
      </c>
      <c r="C16" t="s">
        <v>20</v>
      </c>
      <c r="D16" t="s">
        <v>9</v>
      </c>
      <c r="E16">
        <f>(LEN(sales_orders[[#This Row],[line_items]])-LEN(SUBSTITUTE(sales_orders[[#This Row],[line_items]],"""product_name""","")))/LEN("""product_name""")</f>
        <v>2</v>
      </c>
      <c r="F16" s="2" cm="1">
        <f t="array" ref="F16">SUM(INDEX(sales_orders[item_count],1):INDEX(sales_orders[item_count],ROW()-ROW(sales_orders[#Headers])))</f>
        <v>35</v>
      </c>
    </row>
    <row r="17" spans="1:6" x14ac:dyDescent="0.3">
      <c r="A17">
        <v>1032012</v>
      </c>
      <c r="B17" s="1">
        <v>43036</v>
      </c>
      <c r="C17" t="s">
        <v>21</v>
      </c>
      <c r="D17" t="s">
        <v>5</v>
      </c>
      <c r="E17">
        <f>(LEN(sales_orders[[#This Row],[line_items]])-LEN(SUBSTITUTE(sales_orders[[#This Row],[line_items]],"""product_name""","")))/LEN("""product_name""")</f>
        <v>2</v>
      </c>
      <c r="F17" s="2" cm="1">
        <f t="array" ref="F17">SUM(INDEX(sales_orders[item_count],1):INDEX(sales_orders[item_count],ROW()-ROW(sales_orders[#Headers])))</f>
        <v>37</v>
      </c>
    </row>
    <row r="18" spans="1:6" x14ac:dyDescent="0.3">
      <c r="A18">
        <v>1039011</v>
      </c>
      <c r="B18" s="1">
        <v>43043</v>
      </c>
      <c r="C18" t="s">
        <v>22</v>
      </c>
      <c r="D18" t="s">
        <v>5</v>
      </c>
      <c r="E18">
        <f>(LEN(sales_orders[[#This Row],[line_items]])-LEN(SUBSTITUTE(sales_orders[[#This Row],[line_items]],"""product_name""","")))/LEN("""product_name""")</f>
        <v>1</v>
      </c>
      <c r="F18" s="2" cm="1">
        <f t="array" ref="F18">SUM(INDEX(sales_orders[item_count],1):INDEX(sales_orders[item_count],ROW()-ROW(sales_orders[#Headers])))</f>
        <v>38</v>
      </c>
    </row>
    <row r="19" spans="1:6" x14ac:dyDescent="0.3">
      <c r="A19">
        <v>1095040</v>
      </c>
      <c r="B19" s="1">
        <v>43099</v>
      </c>
      <c r="C19" t="s">
        <v>23</v>
      </c>
      <c r="D19" t="s">
        <v>5</v>
      </c>
      <c r="E19">
        <f>(LEN(sales_orders[[#This Row],[line_items]])-LEN(SUBSTITUTE(sales_orders[[#This Row],[line_items]],"""product_name""","")))/LEN("""product_name""")</f>
        <v>2</v>
      </c>
      <c r="F19" s="2" cm="1">
        <f t="array" ref="F19">SUM(INDEX(sales_orders[item_count],1):INDEX(sales_orders[item_count],ROW()-ROW(sales_orders[#Headers])))</f>
        <v>40</v>
      </c>
    </row>
    <row r="20" spans="1:6" x14ac:dyDescent="0.3">
      <c r="A20">
        <v>1112009</v>
      </c>
      <c r="B20" s="1">
        <v>43116</v>
      </c>
      <c r="C20" t="s">
        <v>24</v>
      </c>
      <c r="D20" t="s">
        <v>5</v>
      </c>
      <c r="E20">
        <f>(LEN(sales_orders[[#This Row],[line_items]])-LEN(SUBSTITUTE(sales_orders[[#This Row],[line_items]],"""product_name""","")))/LEN("""product_name""")</f>
        <v>1</v>
      </c>
      <c r="F20" s="2" cm="1">
        <f t="array" ref="F20">SUM(INDEX(sales_orders[item_count],1):INDEX(sales_orders[item_count],ROW()-ROW(sales_orders[#Headers])))</f>
        <v>41</v>
      </c>
    </row>
    <row r="21" spans="1:6" x14ac:dyDescent="0.3">
      <c r="A21">
        <v>1121013</v>
      </c>
      <c r="B21" s="1">
        <v>43125</v>
      </c>
      <c r="C21" t="s">
        <v>22</v>
      </c>
      <c r="D21" t="s">
        <v>9</v>
      </c>
      <c r="E21">
        <f>(LEN(sales_orders[[#This Row],[line_items]])-LEN(SUBSTITUTE(sales_orders[[#This Row],[line_items]],"""product_name""","")))/LEN("""product_name""")</f>
        <v>1</v>
      </c>
      <c r="F21" s="2" cm="1">
        <f t="array" ref="F21">SUM(INDEX(sales_orders[item_count],1):INDEX(sales_orders[item_count],ROW()-ROW(sales_orders[#Headers])))</f>
        <v>42</v>
      </c>
    </row>
    <row r="22" spans="1:6" x14ac:dyDescent="0.3">
      <c r="A22">
        <v>1153005</v>
      </c>
      <c r="B22" s="1">
        <v>43157</v>
      </c>
      <c r="C22" t="s">
        <v>25</v>
      </c>
      <c r="D22" t="s">
        <v>5</v>
      </c>
      <c r="E22">
        <f>(LEN(sales_orders[[#This Row],[line_items]])-LEN(SUBSTITUTE(sales_orders[[#This Row],[line_items]],"""product_name""","")))/LEN("""product_name""")</f>
        <v>2</v>
      </c>
      <c r="F22" s="2" cm="1">
        <f t="array" ref="F22">SUM(INDEX(sales_orders[item_count],1):INDEX(sales_orders[item_count],ROW()-ROW(sales_orders[#Headers])))</f>
        <v>44</v>
      </c>
    </row>
    <row r="23" spans="1:6" x14ac:dyDescent="0.3">
      <c r="A23">
        <v>1155018</v>
      </c>
      <c r="B23" s="1">
        <v>43159</v>
      </c>
      <c r="C23" t="s">
        <v>26</v>
      </c>
      <c r="D23" t="s">
        <v>5</v>
      </c>
      <c r="E23">
        <f>(LEN(sales_orders[[#This Row],[line_items]])-LEN(SUBSTITUTE(sales_orders[[#This Row],[line_items]],"""product_name""","")))/LEN("""product_name""")</f>
        <v>1</v>
      </c>
      <c r="F23" s="2" cm="1">
        <f t="array" ref="F23">SUM(INDEX(sales_orders[item_count],1):INDEX(sales_orders[item_count],ROW()-ROW(sales_orders[#Headers])))</f>
        <v>45</v>
      </c>
    </row>
    <row r="24" spans="1:6" x14ac:dyDescent="0.3">
      <c r="A24">
        <v>1231012</v>
      </c>
      <c r="B24" s="1">
        <v>43235</v>
      </c>
      <c r="C24" t="s">
        <v>27</v>
      </c>
      <c r="D24" t="s">
        <v>5</v>
      </c>
      <c r="E24">
        <f>(LEN(sales_orders[[#This Row],[line_items]])-LEN(SUBSTITUTE(sales_orders[[#This Row],[line_items]],"""product_name""","")))/LEN("""product_name""")</f>
        <v>1</v>
      </c>
      <c r="F24" s="2" cm="1">
        <f t="array" ref="F24">SUM(INDEX(sales_orders[item_count],1):INDEX(sales_orders[item_count],ROW()-ROW(sales_orders[#Headers])))</f>
        <v>46</v>
      </c>
    </row>
    <row r="25" spans="1:6" x14ac:dyDescent="0.3">
      <c r="A25">
        <v>1254000</v>
      </c>
      <c r="B25" s="1">
        <v>43258</v>
      </c>
      <c r="C25" t="s">
        <v>28</v>
      </c>
      <c r="D25" t="s">
        <v>5</v>
      </c>
      <c r="E25">
        <f>(LEN(sales_orders[[#This Row],[line_items]])-LEN(SUBSTITUTE(sales_orders[[#This Row],[line_items]],"""product_name""","")))/LEN("""product_name""")</f>
        <v>2</v>
      </c>
      <c r="F25" s="2" cm="1">
        <f t="array" ref="F25">SUM(INDEX(sales_orders[item_count],1):INDEX(sales_orders[item_count],ROW()-ROW(sales_orders[#Headers])))</f>
        <v>48</v>
      </c>
    </row>
    <row r="26" spans="1:6" x14ac:dyDescent="0.3">
      <c r="A26">
        <v>1255008</v>
      </c>
      <c r="B26" s="1">
        <v>43259</v>
      </c>
      <c r="C26" t="s">
        <v>29</v>
      </c>
      <c r="D26" t="s">
        <v>5</v>
      </c>
      <c r="E26">
        <f>(LEN(sales_orders[[#This Row],[line_items]])-LEN(SUBSTITUTE(sales_orders[[#This Row],[line_items]],"""product_name""","")))/LEN("""product_name""")</f>
        <v>1</v>
      </c>
      <c r="F26" s="2" cm="1">
        <f t="array" ref="F26">SUM(INDEX(sales_orders[item_count],1):INDEX(sales_orders[item_count],ROW()-ROW(sales_orders[#Headers])))</f>
        <v>49</v>
      </c>
    </row>
    <row r="27" spans="1:6" x14ac:dyDescent="0.3">
      <c r="A27">
        <v>1276005</v>
      </c>
      <c r="B27" s="1">
        <v>43280</v>
      </c>
      <c r="C27" t="s">
        <v>30</v>
      </c>
      <c r="D27" t="s">
        <v>5</v>
      </c>
      <c r="E27">
        <f>(LEN(sales_orders[[#This Row],[line_items]])-LEN(SUBSTITUTE(sales_orders[[#This Row],[line_items]],"""product_name""","")))/LEN("""product_name""")</f>
        <v>1</v>
      </c>
      <c r="F27" s="2" cm="1">
        <f t="array" ref="F27">SUM(INDEX(sales_orders[item_count],1):INDEX(sales_orders[item_count],ROW()-ROW(sales_orders[#Headers])))</f>
        <v>50</v>
      </c>
    </row>
    <row r="28" spans="1:6" x14ac:dyDescent="0.3">
      <c r="A28">
        <v>1319033</v>
      </c>
      <c r="B28" s="1">
        <v>43323</v>
      </c>
      <c r="C28" t="s">
        <v>31</v>
      </c>
      <c r="D28" t="s">
        <v>5</v>
      </c>
      <c r="E28">
        <f>(LEN(sales_orders[[#This Row],[line_items]])-LEN(SUBSTITUTE(sales_orders[[#This Row],[line_items]],"""product_name""","")))/LEN("""product_name""")</f>
        <v>1</v>
      </c>
      <c r="F28" s="2" cm="1">
        <f t="array" ref="F28">SUM(INDEX(sales_orders[item_count],1):INDEX(sales_orders[item_count],ROW()-ROW(sales_orders[#Headers])))</f>
        <v>51</v>
      </c>
    </row>
    <row r="29" spans="1:6" x14ac:dyDescent="0.3">
      <c r="A29">
        <v>1321003</v>
      </c>
      <c r="B29" s="1">
        <v>43325</v>
      </c>
      <c r="C29" t="s">
        <v>32</v>
      </c>
      <c r="D29" t="s">
        <v>5</v>
      </c>
      <c r="E29">
        <f>(LEN(sales_orders[[#This Row],[line_items]])-LEN(SUBSTITUTE(sales_orders[[#This Row],[line_items]],"""product_name""","")))/LEN("""product_name""")</f>
        <v>3</v>
      </c>
      <c r="F29" s="2" cm="1">
        <f t="array" ref="F29">SUM(INDEX(sales_orders[item_count],1):INDEX(sales_orders[item_count],ROW()-ROW(sales_orders[#Headers])))</f>
        <v>54</v>
      </c>
    </row>
    <row r="30" spans="1:6" x14ac:dyDescent="0.3">
      <c r="A30">
        <v>1330005</v>
      </c>
      <c r="B30" s="1">
        <v>43334</v>
      </c>
      <c r="C30" t="s">
        <v>33</v>
      </c>
      <c r="D30" t="s">
        <v>5</v>
      </c>
      <c r="E30">
        <f>(LEN(sales_orders[[#This Row],[line_items]])-LEN(SUBSTITUTE(sales_orders[[#This Row],[line_items]],"""product_name""","")))/LEN("""product_name""")</f>
        <v>3</v>
      </c>
      <c r="F30" s="2" cm="1">
        <f t="array" ref="F30">SUM(INDEX(sales_orders[item_count],1):INDEX(sales_orders[item_count],ROW()-ROW(sales_orders[#Headers])))</f>
        <v>57</v>
      </c>
    </row>
    <row r="31" spans="1:6" x14ac:dyDescent="0.3">
      <c r="A31">
        <v>1331016</v>
      </c>
      <c r="B31" s="1">
        <v>43335</v>
      </c>
      <c r="C31" t="s">
        <v>34</v>
      </c>
      <c r="D31" t="s">
        <v>9</v>
      </c>
      <c r="E31">
        <f>(LEN(sales_orders[[#This Row],[line_items]])-LEN(SUBSTITUTE(sales_orders[[#This Row],[line_items]],"""product_name""","")))/LEN("""product_name""")</f>
        <v>1</v>
      </c>
      <c r="F31" s="2" cm="1">
        <f t="array" ref="F31">SUM(INDEX(sales_orders[item_count],1):INDEX(sales_orders[item_count],ROW()-ROW(sales_orders[#Headers])))</f>
        <v>58</v>
      </c>
    </row>
    <row r="32" spans="1:6" x14ac:dyDescent="0.3">
      <c r="A32">
        <v>1340009</v>
      </c>
      <c r="B32" s="1">
        <v>43344</v>
      </c>
      <c r="C32" t="s">
        <v>35</v>
      </c>
      <c r="D32" t="s">
        <v>5</v>
      </c>
      <c r="E32">
        <f>(LEN(sales_orders[[#This Row],[line_items]])-LEN(SUBSTITUTE(sales_orders[[#This Row],[line_items]],"""product_name""","")))/LEN("""product_name""")</f>
        <v>2</v>
      </c>
      <c r="F32" s="2" cm="1">
        <f t="array" ref="F32">SUM(INDEX(sales_orders[item_count],1):INDEX(sales_orders[item_count],ROW()-ROW(sales_orders[#Headers])))</f>
        <v>60</v>
      </c>
    </row>
    <row r="33" spans="1:6" x14ac:dyDescent="0.3">
      <c r="A33">
        <v>1357019</v>
      </c>
      <c r="B33" s="1">
        <v>43361</v>
      </c>
      <c r="C33" t="s">
        <v>36</v>
      </c>
      <c r="D33" t="s">
        <v>9</v>
      </c>
      <c r="E33">
        <f>(LEN(sales_orders[[#This Row],[line_items]])-LEN(SUBSTITUTE(sales_orders[[#This Row],[line_items]],"""product_name""","")))/LEN("""product_name""")</f>
        <v>1</v>
      </c>
      <c r="F33" s="2" cm="1">
        <f t="array" ref="F33">SUM(INDEX(sales_orders[item_count],1):INDEX(sales_orders[item_count],ROW()-ROW(sales_orders[#Headers])))</f>
        <v>61</v>
      </c>
    </row>
    <row r="34" spans="1:6" x14ac:dyDescent="0.3">
      <c r="A34">
        <v>1371011</v>
      </c>
      <c r="B34" s="1">
        <v>43375</v>
      </c>
      <c r="C34" t="s">
        <v>37</v>
      </c>
      <c r="D34" t="s">
        <v>5</v>
      </c>
      <c r="E34">
        <f>(LEN(sales_orders[[#This Row],[line_items]])-LEN(SUBSTITUTE(sales_orders[[#This Row],[line_items]],"""product_name""","")))/LEN("""product_name""")</f>
        <v>7</v>
      </c>
      <c r="F34" s="2" cm="1">
        <f t="array" ref="F34">SUM(INDEX(sales_orders[item_count],1):INDEX(sales_orders[item_count],ROW()-ROW(sales_orders[#Headers])))</f>
        <v>68</v>
      </c>
    </row>
    <row r="35" spans="1:6" x14ac:dyDescent="0.3">
      <c r="A35">
        <v>1374006</v>
      </c>
      <c r="B35" s="1">
        <v>43378</v>
      </c>
      <c r="C35" t="s">
        <v>38</v>
      </c>
      <c r="D35" t="s">
        <v>5</v>
      </c>
      <c r="E35">
        <f>(LEN(sales_orders[[#This Row],[line_items]])-LEN(SUBSTITUTE(sales_orders[[#This Row],[line_items]],"""product_name""","")))/LEN("""product_name""")</f>
        <v>4</v>
      </c>
      <c r="F35" s="2" cm="1">
        <f t="array" ref="F35">SUM(INDEX(sales_orders[item_count],1):INDEX(sales_orders[item_count],ROW()-ROW(sales_orders[#Headers])))</f>
        <v>72</v>
      </c>
    </row>
    <row r="36" spans="1:6" x14ac:dyDescent="0.3">
      <c r="A36">
        <v>1388011</v>
      </c>
      <c r="B36" s="1">
        <v>43392</v>
      </c>
      <c r="C36" t="s">
        <v>39</v>
      </c>
      <c r="D36" t="s">
        <v>9</v>
      </c>
      <c r="E36">
        <f>(LEN(sales_orders[[#This Row],[line_items]])-LEN(SUBSTITUTE(sales_orders[[#This Row],[line_items]],"""product_name""","")))/LEN("""product_name""")</f>
        <v>2</v>
      </c>
      <c r="F36" s="2" cm="1">
        <f t="array" ref="F36">SUM(INDEX(sales_orders[item_count],1):INDEX(sales_orders[item_count],ROW()-ROW(sales_orders[#Headers])))</f>
        <v>74</v>
      </c>
    </row>
    <row r="37" spans="1:6" x14ac:dyDescent="0.3">
      <c r="A37">
        <v>1393022</v>
      </c>
      <c r="B37" s="1">
        <v>43397</v>
      </c>
      <c r="C37" t="s">
        <v>40</v>
      </c>
      <c r="D37" t="s">
        <v>5</v>
      </c>
      <c r="E37">
        <f>(LEN(sales_orders[[#This Row],[line_items]])-LEN(SUBSTITUTE(sales_orders[[#This Row],[line_items]],"""product_name""","")))/LEN("""product_name""")</f>
        <v>1</v>
      </c>
      <c r="F37" s="2" cm="1">
        <f t="array" ref="F37">SUM(INDEX(sales_orders[item_count],1):INDEX(sales_orders[item_count],ROW()-ROW(sales_orders[#Headers])))</f>
        <v>75</v>
      </c>
    </row>
    <row r="38" spans="1:6" x14ac:dyDescent="0.3">
      <c r="A38">
        <v>1394029</v>
      </c>
      <c r="B38" s="1">
        <v>43398</v>
      </c>
      <c r="C38" t="s">
        <v>41</v>
      </c>
      <c r="D38" t="s">
        <v>9</v>
      </c>
      <c r="E38">
        <f>(LEN(sales_orders[[#This Row],[line_items]])-LEN(SUBSTITUTE(sales_orders[[#This Row],[line_items]],"""product_name""","")))/LEN("""product_name""")</f>
        <v>2</v>
      </c>
      <c r="F38" s="2" cm="1">
        <f t="array" ref="F38">SUM(INDEX(sales_orders[item_count],1):INDEX(sales_orders[item_count],ROW()-ROW(sales_orders[#Headers])))</f>
        <v>77</v>
      </c>
    </row>
    <row r="39" spans="1:6" x14ac:dyDescent="0.3">
      <c r="A39">
        <v>1410029</v>
      </c>
      <c r="B39" s="1">
        <v>43414</v>
      </c>
      <c r="C39" t="s">
        <v>42</v>
      </c>
      <c r="D39" t="s">
        <v>5</v>
      </c>
      <c r="E39">
        <f>(LEN(sales_orders[[#This Row],[line_items]])-LEN(SUBSTITUTE(sales_orders[[#This Row],[line_items]],"""product_name""","")))/LEN("""product_name""")</f>
        <v>1</v>
      </c>
      <c r="F39" s="2" cm="1">
        <f t="array" ref="F39">SUM(INDEX(sales_orders[item_count],1):INDEX(sales_orders[item_count],ROW()-ROW(sales_orders[#Headers])))</f>
        <v>78</v>
      </c>
    </row>
    <row r="40" spans="1:6" x14ac:dyDescent="0.3">
      <c r="A40">
        <v>1428004</v>
      </c>
      <c r="B40" s="1">
        <v>43432</v>
      </c>
      <c r="C40" t="s">
        <v>43</v>
      </c>
      <c r="D40" t="s">
        <v>5</v>
      </c>
      <c r="E40">
        <f>(LEN(sales_orders[[#This Row],[line_items]])-LEN(SUBSTITUTE(sales_orders[[#This Row],[line_items]],"""product_name""","")))/LEN("""product_name""")</f>
        <v>5</v>
      </c>
      <c r="F40" s="2" cm="1">
        <f t="array" ref="F40">SUM(INDEX(sales_orders[item_count],1):INDEX(sales_orders[item_count],ROW()-ROW(sales_orders[#Headers])))</f>
        <v>83</v>
      </c>
    </row>
    <row r="41" spans="1:6" x14ac:dyDescent="0.3">
      <c r="A41">
        <v>1436011</v>
      </c>
      <c r="B41" s="1">
        <v>43440</v>
      </c>
      <c r="C41" t="s">
        <v>44</v>
      </c>
      <c r="D41" t="s">
        <v>5</v>
      </c>
      <c r="E41">
        <f>(LEN(sales_orders[[#This Row],[line_items]])-LEN(SUBSTITUTE(sales_orders[[#This Row],[line_items]],"""product_name""","")))/LEN("""product_name""")</f>
        <v>3</v>
      </c>
      <c r="F41" s="2" cm="1">
        <f t="array" ref="F41">SUM(INDEX(sales_orders[item_count],1):INDEX(sales_orders[item_count],ROW()-ROW(sales_orders[#Headers])))</f>
        <v>86</v>
      </c>
    </row>
    <row r="42" spans="1:6" x14ac:dyDescent="0.3">
      <c r="A42">
        <v>1450050</v>
      </c>
      <c r="B42" s="1">
        <v>43454</v>
      </c>
      <c r="C42" t="s">
        <v>45</v>
      </c>
      <c r="D42" t="s">
        <v>9</v>
      </c>
      <c r="E42">
        <f>(LEN(sales_orders[[#This Row],[line_items]])-LEN(SUBSTITUTE(sales_orders[[#This Row],[line_items]],"""product_name""","")))/LEN("""product_name""")</f>
        <v>1</v>
      </c>
      <c r="F42" s="2" cm="1">
        <f t="array" ref="F42">SUM(INDEX(sales_orders[item_count],1):INDEX(sales_orders[item_count],ROW()-ROW(sales_orders[#Headers])))</f>
        <v>87</v>
      </c>
    </row>
    <row r="43" spans="1:6" x14ac:dyDescent="0.3">
      <c r="A43">
        <v>1456008</v>
      </c>
      <c r="B43" s="1">
        <v>43460</v>
      </c>
      <c r="C43" t="s">
        <v>46</v>
      </c>
      <c r="D43" t="s">
        <v>5</v>
      </c>
      <c r="E43">
        <f>(LEN(sales_orders[[#This Row],[line_items]])-LEN(SUBSTITUTE(sales_orders[[#This Row],[line_items]],"""product_name""","")))/LEN("""product_name""")</f>
        <v>3</v>
      </c>
      <c r="F43" s="2" cm="1">
        <f t="array" ref="F43">SUM(INDEX(sales_orders[item_count],1):INDEX(sales_orders[item_count],ROW()-ROW(sales_orders[#Headers])))</f>
        <v>90</v>
      </c>
    </row>
    <row r="44" spans="1:6" x14ac:dyDescent="0.3">
      <c r="A44">
        <v>1457067</v>
      </c>
      <c r="B44" s="1">
        <v>43461</v>
      </c>
      <c r="C44" t="s">
        <v>47</v>
      </c>
      <c r="D44" t="s">
        <v>9</v>
      </c>
      <c r="E44">
        <f>(LEN(sales_orders[[#This Row],[line_items]])-LEN(SUBSTITUTE(sales_orders[[#This Row],[line_items]],"""product_name""","")))/LEN("""product_name""")</f>
        <v>1</v>
      </c>
      <c r="F44" s="2" cm="1">
        <f t="array" ref="F44">SUM(INDEX(sales_orders[item_count],1):INDEX(sales_orders[item_count],ROW()-ROW(sales_orders[#Headers])))</f>
        <v>91</v>
      </c>
    </row>
    <row r="45" spans="1:6" x14ac:dyDescent="0.3">
      <c r="A45">
        <v>1464006</v>
      </c>
      <c r="B45" s="1">
        <v>43468</v>
      </c>
      <c r="C45" t="s">
        <v>48</v>
      </c>
      <c r="D45" t="s">
        <v>9</v>
      </c>
      <c r="E45">
        <f>(LEN(sales_orders[[#This Row],[line_items]])-LEN(SUBSTITUTE(sales_orders[[#This Row],[line_items]],"""product_name""","")))/LEN("""product_name""")</f>
        <v>2</v>
      </c>
      <c r="F45" s="2" cm="1">
        <f t="array" ref="F45">SUM(INDEX(sales_orders[item_count],1):INDEX(sales_orders[item_count],ROW()-ROW(sales_orders[#Headers])))</f>
        <v>93</v>
      </c>
    </row>
    <row r="46" spans="1:6" x14ac:dyDescent="0.3">
      <c r="A46">
        <v>1470028</v>
      </c>
      <c r="B46" s="1">
        <v>43474</v>
      </c>
      <c r="C46" t="s">
        <v>49</v>
      </c>
      <c r="D46" t="s">
        <v>5</v>
      </c>
      <c r="E46">
        <f>(LEN(sales_orders[[#This Row],[line_items]])-LEN(SUBSTITUTE(sales_orders[[#This Row],[line_items]],"""product_name""","")))/LEN("""product_name""")</f>
        <v>4</v>
      </c>
      <c r="F46" s="2" cm="1">
        <f t="array" ref="F46">SUM(INDEX(sales_orders[item_count],1):INDEX(sales_orders[item_count],ROW()-ROW(sales_orders[#Headers])))</f>
        <v>97</v>
      </c>
    </row>
    <row r="47" spans="1:6" x14ac:dyDescent="0.3">
      <c r="A47">
        <v>1476005</v>
      </c>
      <c r="B47" s="1">
        <v>43480</v>
      </c>
      <c r="C47" t="s">
        <v>50</v>
      </c>
      <c r="D47" t="s">
        <v>5</v>
      </c>
      <c r="E47">
        <f>(LEN(sales_orders[[#This Row],[line_items]])-LEN(SUBSTITUTE(sales_orders[[#This Row],[line_items]],"""product_name""","")))/LEN("""product_name""")</f>
        <v>1</v>
      </c>
      <c r="F47" s="2" cm="1">
        <f t="array" ref="F47">SUM(INDEX(sales_orders[item_count],1):INDEX(sales_orders[item_count],ROW()-ROW(sales_orders[#Headers])))</f>
        <v>98</v>
      </c>
    </row>
    <row r="48" spans="1:6" x14ac:dyDescent="0.3">
      <c r="A48">
        <v>1487027</v>
      </c>
      <c r="B48" s="1">
        <v>43491</v>
      </c>
      <c r="C48" t="s">
        <v>51</v>
      </c>
      <c r="D48" t="s">
        <v>5</v>
      </c>
      <c r="E48">
        <f>(LEN(sales_orders[[#This Row],[line_items]])-LEN(SUBSTITUTE(sales_orders[[#This Row],[line_items]],"""product_name""","")))/LEN("""product_name""")</f>
        <v>4</v>
      </c>
      <c r="F48" s="2" cm="1">
        <f t="array" ref="F48">SUM(INDEX(sales_orders[item_count],1):INDEX(sales_orders[item_count],ROW()-ROW(sales_orders[#Headers])))</f>
        <v>102</v>
      </c>
    </row>
    <row r="49" spans="1:6" x14ac:dyDescent="0.3">
      <c r="A49">
        <v>1492017</v>
      </c>
      <c r="B49" s="1">
        <v>43496</v>
      </c>
      <c r="C49" t="s">
        <v>52</v>
      </c>
      <c r="D49" t="s">
        <v>5</v>
      </c>
      <c r="E49">
        <f>(LEN(sales_orders[[#This Row],[line_items]])-LEN(SUBSTITUTE(sales_orders[[#This Row],[line_items]],"""product_name""","")))/LEN("""product_name""")</f>
        <v>3</v>
      </c>
      <c r="F49" s="2" cm="1">
        <f t="array" ref="F49">SUM(INDEX(sales_orders[item_count],1):INDEX(sales_orders[item_count],ROW()-ROW(sales_orders[#Headers])))</f>
        <v>105</v>
      </c>
    </row>
    <row r="50" spans="1:6" x14ac:dyDescent="0.3">
      <c r="A50">
        <v>1501025</v>
      </c>
      <c r="B50" s="1">
        <v>43505</v>
      </c>
      <c r="C50" t="s">
        <v>53</v>
      </c>
      <c r="D50" t="s">
        <v>5</v>
      </c>
      <c r="E50">
        <f>(LEN(sales_orders[[#This Row],[line_items]])-LEN(SUBSTITUTE(sales_orders[[#This Row],[line_items]],"""product_name""","")))/LEN("""product_name""")</f>
        <v>4</v>
      </c>
      <c r="F50" s="2" cm="1">
        <f t="array" ref="F50">SUM(INDEX(sales_orders[item_count],1):INDEX(sales_orders[item_count],ROW()-ROW(sales_orders[#Headers])))</f>
        <v>109</v>
      </c>
    </row>
    <row r="51" spans="1:6" x14ac:dyDescent="0.3">
      <c r="A51">
        <v>1504008</v>
      </c>
      <c r="B51" s="1">
        <v>43508</v>
      </c>
      <c r="C51" t="s">
        <v>54</v>
      </c>
      <c r="D51" t="s">
        <v>5</v>
      </c>
      <c r="E51">
        <f>(LEN(sales_orders[[#This Row],[line_items]])-LEN(SUBSTITUTE(sales_orders[[#This Row],[line_items]],"""product_name""","")))/LEN("""product_name""")</f>
        <v>3</v>
      </c>
      <c r="F51" s="2" cm="1">
        <f t="array" ref="F51">SUM(INDEX(sales_orders[item_count],1):INDEX(sales_orders[item_count],ROW()-ROW(sales_orders[#Headers])))</f>
        <v>112</v>
      </c>
    </row>
    <row r="52" spans="1:6" x14ac:dyDescent="0.3">
      <c r="A52">
        <v>1519031</v>
      </c>
      <c r="B52" s="1">
        <v>43523</v>
      </c>
      <c r="C52" t="s">
        <v>55</v>
      </c>
      <c r="D52" t="s">
        <v>5</v>
      </c>
      <c r="E52">
        <f>(LEN(sales_orders[[#This Row],[line_items]])-LEN(SUBSTITUTE(sales_orders[[#This Row],[line_items]],"""product_name""","")))/LEN("""product_name""")</f>
        <v>1</v>
      </c>
      <c r="F52" s="2" cm="1">
        <f t="array" ref="F52">SUM(INDEX(sales_orders[item_count],1):INDEX(sales_orders[item_count],ROW()-ROW(sales_orders[#Headers])))</f>
        <v>113</v>
      </c>
    </row>
    <row r="53" spans="1:6" x14ac:dyDescent="0.3">
      <c r="A53">
        <v>1528014</v>
      </c>
      <c r="B53" s="1">
        <v>43532</v>
      </c>
      <c r="C53" t="s">
        <v>56</v>
      </c>
      <c r="D53" t="s">
        <v>5</v>
      </c>
      <c r="E53">
        <f>(LEN(sales_orders[[#This Row],[line_items]])-LEN(SUBSTITUTE(sales_orders[[#This Row],[line_items]],"""product_name""","")))/LEN("""product_name""")</f>
        <v>2</v>
      </c>
      <c r="F53" s="2" cm="1">
        <f t="array" ref="F53">SUM(INDEX(sales_orders[item_count],1):INDEX(sales_orders[item_count],ROW()-ROW(sales_orders[#Headers])))</f>
        <v>115</v>
      </c>
    </row>
    <row r="54" spans="1:6" x14ac:dyDescent="0.3">
      <c r="A54">
        <v>1587003</v>
      </c>
      <c r="B54" s="1">
        <v>43591</v>
      </c>
      <c r="C54" t="s">
        <v>57</v>
      </c>
      <c r="D54" t="s">
        <v>5</v>
      </c>
      <c r="E54">
        <f>(LEN(sales_orders[[#This Row],[line_items]])-LEN(SUBSTITUTE(sales_orders[[#This Row],[line_items]],"""product_name""","")))/LEN("""product_name""")</f>
        <v>1</v>
      </c>
      <c r="F54" s="2" cm="1">
        <f t="array" ref="F54">SUM(INDEX(sales_orders[item_count],1):INDEX(sales_orders[item_count],ROW()-ROW(sales_orders[#Headers])))</f>
        <v>116</v>
      </c>
    </row>
    <row r="55" spans="1:6" x14ac:dyDescent="0.3">
      <c r="A55">
        <v>1599043</v>
      </c>
      <c r="B55" s="1">
        <v>43603</v>
      </c>
      <c r="C55" t="s">
        <v>58</v>
      </c>
      <c r="D55" t="s">
        <v>5</v>
      </c>
      <c r="E55">
        <f>(LEN(sales_orders[[#This Row],[line_items]])-LEN(SUBSTITUTE(sales_orders[[#This Row],[line_items]],"""product_name""","")))/LEN("""product_name""")</f>
        <v>5</v>
      </c>
      <c r="F55" s="2" cm="1">
        <f t="array" ref="F55">SUM(INDEX(sales_orders[item_count],1):INDEX(sales_orders[item_count],ROW()-ROW(sales_orders[#Headers])))</f>
        <v>121</v>
      </c>
    </row>
    <row r="56" spans="1:6" x14ac:dyDescent="0.3">
      <c r="A56">
        <v>1618024</v>
      </c>
      <c r="B56" s="1">
        <v>43622</v>
      </c>
      <c r="C56" t="s">
        <v>59</v>
      </c>
      <c r="D56" t="s">
        <v>5</v>
      </c>
      <c r="E56">
        <f>(LEN(sales_orders[[#This Row],[line_items]])-LEN(SUBSTITUTE(sales_orders[[#This Row],[line_items]],"""product_name""","")))/LEN("""product_name""")</f>
        <v>2</v>
      </c>
      <c r="F56" s="2" cm="1">
        <f t="array" ref="F56">SUM(INDEX(sales_orders[item_count],1):INDEX(sales_orders[item_count],ROW()-ROW(sales_orders[#Headers])))</f>
        <v>123</v>
      </c>
    </row>
    <row r="57" spans="1:6" x14ac:dyDescent="0.3">
      <c r="A57">
        <v>1625021</v>
      </c>
      <c r="B57" s="1">
        <v>43629</v>
      </c>
      <c r="C57" t="s">
        <v>60</v>
      </c>
      <c r="D57" t="s">
        <v>5</v>
      </c>
      <c r="E57">
        <f>(LEN(sales_orders[[#This Row],[line_items]])-LEN(SUBSTITUTE(sales_orders[[#This Row],[line_items]],"""product_name""","")))/LEN("""product_name""")</f>
        <v>4</v>
      </c>
      <c r="F57" s="2" cm="1">
        <f t="array" ref="F57">SUM(INDEX(sales_orders[item_count],1):INDEX(sales_orders[item_count],ROW()-ROW(sales_orders[#Headers])))</f>
        <v>127</v>
      </c>
    </row>
    <row r="58" spans="1:6" x14ac:dyDescent="0.3">
      <c r="A58">
        <v>1634000</v>
      </c>
      <c r="B58" s="1">
        <v>43638</v>
      </c>
      <c r="C58" t="s">
        <v>61</v>
      </c>
      <c r="D58" t="s">
        <v>5</v>
      </c>
      <c r="E58">
        <f>(LEN(sales_orders[[#This Row],[line_items]])-LEN(SUBSTITUTE(sales_orders[[#This Row],[line_items]],"""product_name""","")))/LEN("""product_name""")</f>
        <v>3</v>
      </c>
      <c r="F58" s="2" cm="1">
        <f t="array" ref="F58">SUM(INDEX(sales_orders[item_count],1):INDEX(sales_orders[item_count],ROW()-ROW(sales_orders[#Headers])))</f>
        <v>130</v>
      </c>
    </row>
    <row r="59" spans="1:6" x14ac:dyDescent="0.3">
      <c r="A59">
        <v>1639015</v>
      </c>
      <c r="B59" s="1">
        <v>43643</v>
      </c>
      <c r="C59" t="s">
        <v>62</v>
      </c>
      <c r="D59" t="s">
        <v>5</v>
      </c>
      <c r="E59">
        <f>(LEN(sales_orders[[#This Row],[line_items]])-LEN(SUBSTITUTE(sales_orders[[#This Row],[line_items]],"""product_name""","")))/LEN("""product_name""")</f>
        <v>7</v>
      </c>
      <c r="F59" s="2" cm="1">
        <f t="array" ref="F59">SUM(INDEX(sales_orders[item_count],1):INDEX(sales_orders[item_count],ROW()-ROW(sales_orders[#Headers])))</f>
        <v>137</v>
      </c>
    </row>
    <row r="60" spans="1:6" x14ac:dyDescent="0.3">
      <c r="A60">
        <v>1657003</v>
      </c>
      <c r="B60" s="1">
        <v>43661</v>
      </c>
      <c r="C60" t="s">
        <v>63</v>
      </c>
      <c r="D60" t="s">
        <v>5</v>
      </c>
      <c r="E60">
        <f>(LEN(sales_orders[[#This Row],[line_items]])-LEN(SUBSTITUTE(sales_orders[[#This Row],[line_items]],"""product_name""","")))/LEN("""product_name""")</f>
        <v>2</v>
      </c>
      <c r="F60" s="2" cm="1">
        <f t="array" ref="F60">SUM(INDEX(sales_orders[item_count],1):INDEX(sales_orders[item_count],ROW()-ROW(sales_orders[#Headers])))</f>
        <v>139</v>
      </c>
    </row>
    <row r="61" spans="1:6" x14ac:dyDescent="0.3">
      <c r="A61">
        <v>1666019</v>
      </c>
      <c r="B61" s="1">
        <v>43670</v>
      </c>
      <c r="C61" t="s">
        <v>64</v>
      </c>
      <c r="D61" t="s">
        <v>5</v>
      </c>
      <c r="E61">
        <f>(LEN(sales_orders[[#This Row],[line_items]])-LEN(SUBSTITUTE(sales_orders[[#This Row],[line_items]],"""product_name""","")))/LEN("""product_name""")</f>
        <v>1</v>
      </c>
      <c r="F61" s="2" cm="1">
        <f t="array" ref="F61">SUM(INDEX(sales_orders[item_count],1):INDEX(sales_orders[item_count],ROW()-ROW(sales_orders[#Headers])))</f>
        <v>140</v>
      </c>
    </row>
    <row r="62" spans="1:6" x14ac:dyDescent="0.3">
      <c r="A62">
        <v>1668015</v>
      </c>
      <c r="B62" s="1">
        <v>43672</v>
      </c>
      <c r="C62" t="s">
        <v>65</v>
      </c>
      <c r="D62" t="s">
        <v>5</v>
      </c>
      <c r="E62">
        <f>(LEN(sales_orders[[#This Row],[line_items]])-LEN(SUBSTITUTE(sales_orders[[#This Row],[line_items]],"""product_name""","")))/LEN("""product_name""")</f>
        <v>1</v>
      </c>
      <c r="F62" s="2" cm="1">
        <f t="array" ref="F62">SUM(INDEX(sales_orders[item_count],1):INDEX(sales_orders[item_count],ROW()-ROW(sales_orders[#Headers])))</f>
        <v>141</v>
      </c>
    </row>
    <row r="63" spans="1:6" x14ac:dyDescent="0.3">
      <c r="A63">
        <v>1669018</v>
      </c>
      <c r="B63" s="1">
        <v>43673</v>
      </c>
      <c r="C63" t="s">
        <v>66</v>
      </c>
      <c r="D63" t="s">
        <v>5</v>
      </c>
      <c r="E63">
        <f>(LEN(sales_orders[[#This Row],[line_items]])-LEN(SUBSTITUTE(sales_orders[[#This Row],[line_items]],"""product_name""","")))/LEN("""product_name""")</f>
        <v>3</v>
      </c>
      <c r="F63" s="2" cm="1">
        <f t="array" ref="F63">SUM(INDEX(sales_orders[item_count],1):INDEX(sales_orders[item_count],ROW()-ROW(sales_orders[#Headers])))</f>
        <v>144</v>
      </c>
    </row>
    <row r="64" spans="1:6" x14ac:dyDescent="0.3">
      <c r="A64">
        <v>1680019</v>
      </c>
      <c r="B64" s="1">
        <v>43684</v>
      </c>
      <c r="C64" t="s">
        <v>67</v>
      </c>
      <c r="D64" t="s">
        <v>5</v>
      </c>
      <c r="E64">
        <f>(LEN(sales_orders[[#This Row],[line_items]])-LEN(SUBSTITUTE(sales_orders[[#This Row],[line_items]],"""product_name""","")))/LEN("""product_name""")</f>
        <v>1</v>
      </c>
      <c r="F64" s="2" cm="1">
        <f t="array" ref="F64">SUM(INDEX(sales_orders[item_count],1):INDEX(sales_orders[item_count],ROW()-ROW(sales_orders[#Headers])))</f>
        <v>145</v>
      </c>
    </row>
    <row r="65" spans="1:6" x14ac:dyDescent="0.3">
      <c r="A65">
        <v>1701018</v>
      </c>
      <c r="B65" s="1">
        <v>43705</v>
      </c>
      <c r="C65" t="s">
        <v>68</v>
      </c>
      <c r="D65" t="s">
        <v>5</v>
      </c>
      <c r="E65">
        <f>(LEN(sales_orders[[#This Row],[line_items]])-LEN(SUBSTITUTE(sales_orders[[#This Row],[line_items]],"""product_name""","")))/LEN("""product_name""")</f>
        <v>2</v>
      </c>
      <c r="F65" s="2" cm="1">
        <f t="array" ref="F65">SUM(INDEX(sales_orders[item_count],1):INDEX(sales_orders[item_count],ROW()-ROW(sales_orders[#Headers])))</f>
        <v>147</v>
      </c>
    </row>
    <row r="66" spans="1:6" x14ac:dyDescent="0.3">
      <c r="A66">
        <v>1709012</v>
      </c>
      <c r="B66" s="1">
        <v>43713</v>
      </c>
      <c r="C66" t="s">
        <v>69</v>
      </c>
      <c r="D66" t="s">
        <v>9</v>
      </c>
      <c r="E66">
        <f>(LEN(sales_orders[[#This Row],[line_items]])-LEN(SUBSTITUTE(sales_orders[[#This Row],[line_items]],"""product_name""","")))/LEN("""product_name""")</f>
        <v>1</v>
      </c>
      <c r="F66" s="2" cm="1">
        <f t="array" ref="F66">SUM(INDEX(sales_orders[item_count],1):INDEX(sales_orders[item_count],ROW()-ROW(sales_orders[#Headers])))</f>
        <v>148</v>
      </c>
    </row>
    <row r="67" spans="1:6" x14ac:dyDescent="0.3">
      <c r="A67">
        <v>1711012</v>
      </c>
      <c r="B67" s="1">
        <v>43715</v>
      </c>
      <c r="C67" t="s">
        <v>70</v>
      </c>
      <c r="D67" t="s">
        <v>5</v>
      </c>
      <c r="E67">
        <f>(LEN(sales_orders[[#This Row],[line_items]])-LEN(SUBSTITUTE(sales_orders[[#This Row],[line_items]],"""product_name""","")))/LEN("""product_name""")</f>
        <v>2</v>
      </c>
      <c r="F67" s="2" cm="1">
        <f t="array" ref="F67">SUM(INDEX(sales_orders[item_count],1):INDEX(sales_orders[item_count],ROW()-ROW(sales_orders[#Headers])))</f>
        <v>150</v>
      </c>
    </row>
    <row r="68" spans="1:6" x14ac:dyDescent="0.3">
      <c r="A68">
        <v>1715004</v>
      </c>
      <c r="B68" s="1">
        <v>43719</v>
      </c>
      <c r="C68" t="s">
        <v>71</v>
      </c>
      <c r="D68" t="s">
        <v>5</v>
      </c>
      <c r="E68">
        <f>(LEN(sales_orders[[#This Row],[line_items]])-LEN(SUBSTITUTE(sales_orders[[#This Row],[line_items]],"""product_name""","")))/LEN("""product_name""")</f>
        <v>3</v>
      </c>
      <c r="F68" s="2" cm="1">
        <f t="array" ref="F68">SUM(INDEX(sales_orders[item_count],1):INDEX(sales_orders[item_count],ROW()-ROW(sales_orders[#Headers])))</f>
        <v>153</v>
      </c>
    </row>
    <row r="69" spans="1:6" x14ac:dyDescent="0.3">
      <c r="A69">
        <v>1731020</v>
      </c>
      <c r="B69" s="1">
        <v>43735</v>
      </c>
      <c r="C69" t="s">
        <v>72</v>
      </c>
      <c r="D69" t="s">
        <v>9</v>
      </c>
      <c r="E69">
        <f>(LEN(sales_orders[[#This Row],[line_items]])-LEN(SUBSTITUTE(sales_orders[[#This Row],[line_items]],"""product_name""","")))/LEN("""product_name""")</f>
        <v>1</v>
      </c>
      <c r="F69" s="2" cm="1">
        <f t="array" ref="F69">SUM(INDEX(sales_orders[item_count],1):INDEX(sales_orders[item_count],ROW()-ROW(sales_orders[#Headers])))</f>
        <v>154</v>
      </c>
    </row>
    <row r="70" spans="1:6" x14ac:dyDescent="0.3">
      <c r="A70">
        <v>1735000</v>
      </c>
      <c r="B70" s="1">
        <v>43739</v>
      </c>
      <c r="C70" t="s">
        <v>73</v>
      </c>
      <c r="D70" t="s">
        <v>5</v>
      </c>
      <c r="E70">
        <f>(LEN(sales_orders[[#This Row],[line_items]])-LEN(SUBSTITUTE(sales_orders[[#This Row],[line_items]],"""product_name""","")))/LEN("""product_name""")</f>
        <v>1</v>
      </c>
      <c r="F70" s="2" cm="1">
        <f t="array" ref="F70">SUM(INDEX(sales_orders[item_count],1):INDEX(sales_orders[item_count],ROW()-ROW(sales_orders[#Headers])))</f>
        <v>155</v>
      </c>
    </row>
    <row r="71" spans="1:6" x14ac:dyDescent="0.3">
      <c r="A71">
        <v>1737027</v>
      </c>
      <c r="B71" s="1">
        <v>43741</v>
      </c>
      <c r="C71" t="s">
        <v>74</v>
      </c>
      <c r="D71" t="s">
        <v>5</v>
      </c>
      <c r="E71">
        <f>(LEN(sales_orders[[#This Row],[line_items]])-LEN(SUBSTITUTE(sales_orders[[#This Row],[line_items]],"""product_name""","")))/LEN("""product_name""")</f>
        <v>3</v>
      </c>
      <c r="F71" s="2" cm="1">
        <f t="array" ref="F71">SUM(INDEX(sales_orders[item_count],1):INDEX(sales_orders[item_count],ROW()-ROW(sales_orders[#Headers])))</f>
        <v>158</v>
      </c>
    </row>
    <row r="72" spans="1:6" x14ac:dyDescent="0.3">
      <c r="A72">
        <v>1739033</v>
      </c>
      <c r="B72" s="1">
        <v>43743</v>
      </c>
      <c r="C72" t="s">
        <v>75</v>
      </c>
      <c r="D72" t="s">
        <v>5</v>
      </c>
      <c r="E72">
        <f>(LEN(sales_orders[[#This Row],[line_items]])-LEN(SUBSTITUTE(sales_orders[[#This Row],[line_items]],"""product_name""","")))/LEN("""product_name""")</f>
        <v>3</v>
      </c>
      <c r="F72" s="2" cm="1">
        <f t="array" ref="F72">SUM(INDEX(sales_orders[item_count],1):INDEX(sales_orders[item_count],ROW()-ROW(sales_orders[#Headers])))</f>
        <v>161</v>
      </c>
    </row>
    <row r="73" spans="1:6" x14ac:dyDescent="0.3">
      <c r="A73">
        <v>1751011</v>
      </c>
      <c r="B73" s="1">
        <v>43755</v>
      </c>
      <c r="C73" t="s">
        <v>76</v>
      </c>
      <c r="D73" t="s">
        <v>5</v>
      </c>
      <c r="E73">
        <f>(LEN(sales_orders[[#This Row],[line_items]])-LEN(SUBSTITUTE(sales_orders[[#This Row],[line_items]],"""product_name""","")))/LEN("""product_name""")</f>
        <v>3</v>
      </c>
      <c r="F73" s="2" cm="1">
        <f t="array" ref="F73">SUM(INDEX(sales_orders[item_count],1):INDEX(sales_orders[item_count],ROW()-ROW(sales_orders[#Headers])))</f>
        <v>164</v>
      </c>
    </row>
    <row r="74" spans="1:6" x14ac:dyDescent="0.3">
      <c r="A74">
        <v>1753031</v>
      </c>
      <c r="B74" s="1">
        <v>43757</v>
      </c>
      <c r="C74" t="s">
        <v>77</v>
      </c>
      <c r="D74" t="s">
        <v>5</v>
      </c>
      <c r="E74">
        <f>(LEN(sales_orders[[#This Row],[line_items]])-LEN(SUBSTITUTE(sales_orders[[#This Row],[line_items]],"""product_name""","")))/LEN("""product_name""")</f>
        <v>2</v>
      </c>
      <c r="F74" s="2" cm="1">
        <f t="array" ref="F74">SUM(INDEX(sales_orders[item_count],1):INDEX(sales_orders[item_count],ROW()-ROW(sales_orders[#Headers])))</f>
        <v>166</v>
      </c>
    </row>
    <row r="75" spans="1:6" x14ac:dyDescent="0.3">
      <c r="A75">
        <v>1769017</v>
      </c>
      <c r="B75" s="1">
        <v>43773</v>
      </c>
      <c r="C75" t="s">
        <v>78</v>
      </c>
      <c r="D75" t="s">
        <v>5</v>
      </c>
      <c r="E75">
        <f>(LEN(sales_orders[[#This Row],[line_items]])-LEN(SUBSTITUTE(sales_orders[[#This Row],[line_items]],"""product_name""","")))/LEN("""product_name""")</f>
        <v>2</v>
      </c>
      <c r="F75" s="2" cm="1">
        <f t="array" ref="F75">SUM(INDEX(sales_orders[item_count],1):INDEX(sales_orders[item_count],ROW()-ROW(sales_orders[#Headers])))</f>
        <v>168</v>
      </c>
    </row>
    <row r="76" spans="1:6" x14ac:dyDescent="0.3">
      <c r="A76">
        <v>1779006</v>
      </c>
      <c r="B76" s="1">
        <v>43783</v>
      </c>
      <c r="C76" t="s">
        <v>79</v>
      </c>
      <c r="D76" t="s">
        <v>5</v>
      </c>
      <c r="E76">
        <f>(LEN(sales_orders[[#This Row],[line_items]])-LEN(SUBSTITUTE(sales_orders[[#This Row],[line_items]],"""product_name""","")))/LEN("""product_name""")</f>
        <v>1</v>
      </c>
      <c r="F76" s="2" cm="1">
        <f t="array" ref="F76">SUM(INDEX(sales_orders[item_count],1):INDEX(sales_orders[item_count],ROW()-ROW(sales_orders[#Headers])))</f>
        <v>169</v>
      </c>
    </row>
    <row r="77" spans="1:6" x14ac:dyDescent="0.3">
      <c r="A77">
        <v>1798015</v>
      </c>
      <c r="B77" s="1">
        <v>43802</v>
      </c>
      <c r="C77" t="s">
        <v>80</v>
      </c>
      <c r="D77" t="s">
        <v>5</v>
      </c>
      <c r="E77">
        <f>(LEN(sales_orders[[#This Row],[line_items]])-LEN(SUBSTITUTE(sales_orders[[#This Row],[line_items]],"""product_name""","")))/LEN("""product_name""")</f>
        <v>2</v>
      </c>
      <c r="F77" s="2" cm="1">
        <f t="array" ref="F77">SUM(INDEX(sales_orders[item_count],1):INDEX(sales_orders[item_count],ROW()-ROW(sales_orders[#Headers])))</f>
        <v>171</v>
      </c>
    </row>
    <row r="78" spans="1:6" x14ac:dyDescent="0.3">
      <c r="A78">
        <v>1800023</v>
      </c>
      <c r="B78" s="1">
        <v>43804</v>
      </c>
      <c r="C78" t="s">
        <v>81</v>
      </c>
      <c r="D78" t="s">
        <v>5</v>
      </c>
      <c r="E78">
        <f>(LEN(sales_orders[[#This Row],[line_items]])-LEN(SUBSTITUTE(sales_orders[[#This Row],[line_items]],"""product_name""","")))/LEN("""product_name""")</f>
        <v>1</v>
      </c>
      <c r="F78" s="2" cm="1">
        <f t="array" ref="F78">SUM(INDEX(sales_orders[item_count],1):INDEX(sales_orders[item_count],ROW()-ROW(sales_orders[#Headers])))</f>
        <v>172</v>
      </c>
    </row>
    <row r="79" spans="1:6" x14ac:dyDescent="0.3">
      <c r="A79">
        <v>1812007</v>
      </c>
      <c r="B79" s="1">
        <v>43816</v>
      </c>
      <c r="C79" t="s">
        <v>82</v>
      </c>
      <c r="D79" t="s">
        <v>5</v>
      </c>
      <c r="E79">
        <f>(LEN(sales_orders[[#This Row],[line_items]])-LEN(SUBSTITUTE(sales_orders[[#This Row],[line_items]],"""product_name""","")))/LEN("""product_name""")</f>
        <v>2</v>
      </c>
      <c r="F79" s="2" cm="1">
        <f t="array" ref="F79">SUM(INDEX(sales_orders[item_count],1):INDEX(sales_orders[item_count],ROW()-ROW(sales_orders[#Headers])))</f>
        <v>174</v>
      </c>
    </row>
    <row r="80" spans="1:6" x14ac:dyDescent="0.3">
      <c r="A80">
        <v>1813002</v>
      </c>
      <c r="B80" s="1">
        <v>43817</v>
      </c>
      <c r="C80" t="s">
        <v>83</v>
      </c>
      <c r="D80" t="s">
        <v>5</v>
      </c>
      <c r="E80">
        <f>(LEN(sales_orders[[#This Row],[line_items]])-LEN(SUBSTITUTE(sales_orders[[#This Row],[line_items]],"""product_name""","")))/LEN("""product_name""")</f>
        <v>4</v>
      </c>
      <c r="F80" s="2" cm="1">
        <f t="array" ref="F80">SUM(INDEX(sales_orders[item_count],1):INDEX(sales_orders[item_count],ROW()-ROW(sales_orders[#Headers])))</f>
        <v>178</v>
      </c>
    </row>
    <row r="81" spans="1:6" x14ac:dyDescent="0.3">
      <c r="A81">
        <v>1820019</v>
      </c>
      <c r="B81" s="1">
        <v>43824</v>
      </c>
      <c r="C81" t="s">
        <v>84</v>
      </c>
      <c r="D81" t="s">
        <v>9</v>
      </c>
      <c r="E81">
        <f>(LEN(sales_orders[[#This Row],[line_items]])-LEN(SUBSTITUTE(sales_orders[[#This Row],[line_items]],"""product_name""","")))/LEN("""product_name""")</f>
        <v>5</v>
      </c>
      <c r="F81" s="2" cm="1">
        <f t="array" ref="F81">SUM(INDEX(sales_orders[item_count],1):INDEX(sales_orders[item_count],ROW()-ROW(sales_orders[#Headers])))</f>
        <v>183</v>
      </c>
    </row>
    <row r="82" spans="1:6" x14ac:dyDescent="0.3">
      <c r="A82">
        <v>1827003</v>
      </c>
      <c r="B82" s="1">
        <v>43831</v>
      </c>
      <c r="C82" t="s">
        <v>85</v>
      </c>
      <c r="D82" t="s">
        <v>5</v>
      </c>
      <c r="E82">
        <f>(LEN(sales_orders[[#This Row],[line_items]])-LEN(SUBSTITUTE(sales_orders[[#This Row],[line_items]],"""product_name""","")))/LEN("""product_name""")</f>
        <v>2</v>
      </c>
      <c r="F82" s="2" cm="1">
        <f t="array" ref="F82">SUM(INDEX(sales_orders[item_count],1):INDEX(sales_orders[item_count],ROW()-ROW(sales_orders[#Headers])))</f>
        <v>185</v>
      </c>
    </row>
    <row r="83" spans="1:6" x14ac:dyDescent="0.3">
      <c r="A83">
        <v>1828058</v>
      </c>
      <c r="B83" s="1">
        <v>43832</v>
      </c>
      <c r="C83" t="s">
        <v>86</v>
      </c>
      <c r="D83" t="s">
        <v>5</v>
      </c>
      <c r="E83">
        <f>(LEN(sales_orders[[#This Row],[line_items]])-LEN(SUBSTITUTE(sales_orders[[#This Row],[line_items]],"""product_name""","")))/LEN("""product_name""")</f>
        <v>2</v>
      </c>
      <c r="F83" s="2" cm="1">
        <f t="array" ref="F83">SUM(INDEX(sales_orders[item_count],1):INDEX(sales_orders[item_count],ROW()-ROW(sales_orders[#Headers])))</f>
        <v>187</v>
      </c>
    </row>
    <row r="84" spans="1:6" x14ac:dyDescent="0.3">
      <c r="A84">
        <v>1834023</v>
      </c>
      <c r="B84" s="1">
        <v>43838</v>
      </c>
      <c r="C84" t="s">
        <v>87</v>
      </c>
      <c r="D84" t="s">
        <v>5</v>
      </c>
      <c r="E84">
        <f>(LEN(sales_orders[[#This Row],[line_items]])-LEN(SUBSTITUTE(sales_orders[[#This Row],[line_items]],"""product_name""","")))/LEN("""product_name""")</f>
        <v>1</v>
      </c>
      <c r="F84" s="2" cm="1">
        <f t="array" ref="F84">SUM(INDEX(sales_orders[item_count],1):INDEX(sales_orders[item_count],ROW()-ROW(sales_orders[#Headers])))</f>
        <v>188</v>
      </c>
    </row>
    <row r="85" spans="1:6" x14ac:dyDescent="0.3">
      <c r="A85">
        <v>1836002</v>
      </c>
      <c r="B85" s="1">
        <v>43840</v>
      </c>
      <c r="C85" t="s">
        <v>88</v>
      </c>
      <c r="D85" t="s">
        <v>9</v>
      </c>
      <c r="E85">
        <f>(LEN(sales_orders[[#This Row],[line_items]])-LEN(SUBSTITUTE(sales_orders[[#This Row],[line_items]],"""product_name""","")))/LEN("""product_name""")</f>
        <v>1</v>
      </c>
      <c r="F85" s="2" cm="1">
        <f t="array" ref="F85">SUM(INDEX(sales_orders[item_count],1):INDEX(sales_orders[item_count],ROW()-ROW(sales_orders[#Headers])))</f>
        <v>189</v>
      </c>
    </row>
    <row r="86" spans="1:6" x14ac:dyDescent="0.3">
      <c r="A86">
        <v>1843003</v>
      </c>
      <c r="B86" s="1">
        <v>43847</v>
      </c>
      <c r="C86" t="s">
        <v>89</v>
      </c>
      <c r="D86" t="s">
        <v>5</v>
      </c>
      <c r="E86">
        <f>(LEN(sales_orders[[#This Row],[line_items]])-LEN(SUBSTITUTE(sales_orders[[#This Row],[line_items]],"""product_name""","")))/LEN("""product_name""")</f>
        <v>1</v>
      </c>
      <c r="F86" s="2" cm="1">
        <f t="array" ref="F86">SUM(INDEX(sales_orders[item_count],1):INDEX(sales_orders[item_count],ROW()-ROW(sales_orders[#Headers])))</f>
        <v>190</v>
      </c>
    </row>
    <row r="87" spans="1:6" x14ac:dyDescent="0.3">
      <c r="A87">
        <v>1849000</v>
      </c>
      <c r="B87" s="1">
        <v>43853</v>
      </c>
      <c r="C87" t="s">
        <v>90</v>
      </c>
      <c r="D87" t="s">
        <v>5</v>
      </c>
      <c r="E87">
        <f>(LEN(sales_orders[[#This Row],[line_items]])-LEN(SUBSTITUTE(sales_orders[[#This Row],[line_items]],"""product_name""","")))/LEN("""product_name""")</f>
        <v>5</v>
      </c>
      <c r="F87" s="2" cm="1">
        <f t="array" ref="F87">SUM(INDEX(sales_orders[item_count],1):INDEX(sales_orders[item_count],ROW()-ROW(sales_orders[#Headers])))</f>
        <v>195</v>
      </c>
    </row>
    <row r="88" spans="1:6" x14ac:dyDescent="0.3">
      <c r="A88">
        <v>1850011</v>
      </c>
      <c r="B88" s="1">
        <v>43854</v>
      </c>
      <c r="C88" t="s">
        <v>91</v>
      </c>
      <c r="D88" t="s">
        <v>5</v>
      </c>
      <c r="E88">
        <f>(LEN(sales_orders[[#This Row],[line_items]])-LEN(SUBSTITUTE(sales_orders[[#This Row],[line_items]],"""product_name""","")))/LEN("""product_name""")</f>
        <v>2</v>
      </c>
      <c r="F88" s="2" cm="1">
        <f t="array" ref="F88">SUM(INDEX(sales_orders[item_count],1):INDEX(sales_orders[item_count],ROW()-ROW(sales_orders[#Headers])))</f>
        <v>197</v>
      </c>
    </row>
    <row r="89" spans="1:6" x14ac:dyDescent="0.3">
      <c r="A89">
        <v>1862001</v>
      </c>
      <c r="B89" s="1">
        <v>43866</v>
      </c>
      <c r="C89" t="s">
        <v>92</v>
      </c>
      <c r="D89" t="s">
        <v>5</v>
      </c>
      <c r="E89">
        <f>(LEN(sales_orders[[#This Row],[line_items]])-LEN(SUBSTITUTE(sales_orders[[#This Row],[line_items]],"""product_name""","")))/LEN("""product_name""")</f>
        <v>3</v>
      </c>
      <c r="F89" s="2" cm="1">
        <f t="array" ref="F89">SUM(INDEX(sales_orders[item_count],1):INDEX(sales_orders[item_count],ROW()-ROW(sales_orders[#Headers])))</f>
        <v>200</v>
      </c>
    </row>
    <row r="90" spans="1:6" x14ac:dyDescent="0.3">
      <c r="A90">
        <v>1864024</v>
      </c>
      <c r="B90" s="1">
        <v>43868</v>
      </c>
      <c r="C90" t="s">
        <v>93</v>
      </c>
      <c r="D90" t="s">
        <v>5</v>
      </c>
      <c r="E90">
        <f>(LEN(sales_orders[[#This Row],[line_items]])-LEN(SUBSTITUTE(sales_orders[[#This Row],[line_items]],"""product_name""","")))/LEN("""product_name""")</f>
        <v>3</v>
      </c>
      <c r="F90" s="2" cm="1">
        <f t="array" ref="F90">SUM(INDEX(sales_orders[item_count],1):INDEX(sales_orders[item_count],ROW()-ROW(sales_orders[#Headers])))</f>
        <v>203</v>
      </c>
    </row>
    <row r="91" spans="1:6" x14ac:dyDescent="0.3">
      <c r="A91">
        <v>1883038</v>
      </c>
      <c r="B91" s="1">
        <v>43887</v>
      </c>
      <c r="C91" t="s">
        <v>94</v>
      </c>
      <c r="D91" t="s">
        <v>9</v>
      </c>
      <c r="E91">
        <f>(LEN(sales_orders[[#This Row],[line_items]])-LEN(SUBSTITUTE(sales_orders[[#This Row],[line_items]],"""product_name""","")))/LEN("""product_name""")</f>
        <v>1</v>
      </c>
      <c r="F91" s="2" cm="1">
        <f t="array" ref="F91">SUM(INDEX(sales_orders[item_count],1):INDEX(sales_orders[item_count],ROW()-ROW(sales_orders[#Headers])))</f>
        <v>204</v>
      </c>
    </row>
    <row r="92" spans="1:6" x14ac:dyDescent="0.3">
      <c r="A92">
        <v>1885000</v>
      </c>
      <c r="B92" s="1">
        <v>43889</v>
      </c>
      <c r="C92" t="s">
        <v>95</v>
      </c>
      <c r="D92" t="s">
        <v>5</v>
      </c>
      <c r="E92">
        <f>(LEN(sales_orders[[#This Row],[line_items]])-LEN(SUBSTITUTE(sales_orders[[#This Row],[line_items]],"""product_name""","")))/LEN("""product_name""")</f>
        <v>2</v>
      </c>
      <c r="F92" s="2" cm="1">
        <f t="array" ref="F92">SUM(INDEX(sales_orders[item_count],1):INDEX(sales_orders[item_count],ROW()-ROW(sales_orders[#Headers])))</f>
        <v>206</v>
      </c>
    </row>
    <row r="93" spans="1:6" x14ac:dyDescent="0.3">
      <c r="A93">
        <v>1885025</v>
      </c>
      <c r="B93" s="1">
        <v>43889</v>
      </c>
      <c r="C93" t="s">
        <v>96</v>
      </c>
      <c r="D93" t="s">
        <v>5</v>
      </c>
      <c r="E93">
        <f>(LEN(sales_orders[[#This Row],[line_items]])-LEN(SUBSTITUTE(sales_orders[[#This Row],[line_items]],"""product_name""","")))/LEN("""product_name""")</f>
        <v>2</v>
      </c>
      <c r="F93" s="2" cm="1">
        <f t="array" ref="F93">SUM(INDEX(sales_orders[item_count],1):INDEX(sales_orders[item_count],ROW()-ROW(sales_orders[#Headers])))</f>
        <v>208</v>
      </c>
    </row>
    <row r="94" spans="1:6" x14ac:dyDescent="0.3">
      <c r="A94">
        <v>1893028</v>
      </c>
      <c r="B94" s="1">
        <v>43897</v>
      </c>
      <c r="C94" t="s">
        <v>97</v>
      </c>
      <c r="D94" t="s">
        <v>5</v>
      </c>
      <c r="E94">
        <f>(LEN(sales_orders[[#This Row],[line_items]])-LEN(SUBSTITUTE(sales_orders[[#This Row],[line_items]],"""product_name""","")))/LEN("""product_name""")</f>
        <v>2</v>
      </c>
      <c r="F94" s="2" cm="1">
        <f t="array" ref="F94">SUM(INDEX(sales_orders[item_count],1):INDEX(sales_orders[item_count],ROW()-ROW(sales_orders[#Headers])))</f>
        <v>210</v>
      </c>
    </row>
    <row r="95" spans="1:6" x14ac:dyDescent="0.3">
      <c r="A95">
        <v>1947015</v>
      </c>
      <c r="B95" s="1">
        <v>43951</v>
      </c>
      <c r="C95" t="s">
        <v>98</v>
      </c>
      <c r="D95" t="s">
        <v>5</v>
      </c>
      <c r="E95">
        <f>(LEN(sales_orders[[#This Row],[line_items]])-LEN(SUBSTITUTE(sales_orders[[#This Row],[line_items]],"""product_name""","")))/LEN("""product_name""")</f>
        <v>1</v>
      </c>
      <c r="F95" s="2" cm="1">
        <f t="array" ref="F95">SUM(INDEX(sales_orders[item_count],1):INDEX(sales_orders[item_count],ROW()-ROW(sales_orders[#Headers])))</f>
        <v>211</v>
      </c>
    </row>
    <row r="96" spans="1:6" x14ac:dyDescent="0.3">
      <c r="A96">
        <v>1983004</v>
      </c>
      <c r="B96" s="1">
        <v>43987</v>
      </c>
      <c r="C96" t="s">
        <v>99</v>
      </c>
      <c r="D96" t="s">
        <v>5</v>
      </c>
      <c r="E96">
        <f>(LEN(sales_orders[[#This Row],[line_items]])-LEN(SUBSTITUTE(sales_orders[[#This Row],[line_items]],"""product_name""","")))/LEN("""product_name""")</f>
        <v>3</v>
      </c>
      <c r="F96" s="2" cm="1">
        <f t="array" ref="F96">SUM(INDEX(sales_orders[item_count],1):INDEX(sales_orders[item_count],ROW()-ROW(sales_orders[#Headers])))</f>
        <v>214</v>
      </c>
    </row>
    <row r="97" spans="1:6" x14ac:dyDescent="0.3">
      <c r="A97">
        <v>2144004</v>
      </c>
      <c r="B97" s="1">
        <v>44148</v>
      </c>
      <c r="C97" t="s">
        <v>100</v>
      </c>
      <c r="D97" t="s">
        <v>5</v>
      </c>
      <c r="E97">
        <f>(LEN(sales_orders[[#This Row],[line_items]])-LEN(SUBSTITUTE(sales_orders[[#This Row],[line_items]],"""product_name""","")))/LEN("""product_name""")</f>
        <v>3</v>
      </c>
      <c r="F97" s="2" cm="1">
        <f t="array" ref="F97">SUM(INDEX(sales_orders[item_count],1):INDEX(sales_orders[item_count],ROW()-ROW(sales_orders[#Headers])))</f>
        <v>217</v>
      </c>
    </row>
    <row r="98" spans="1:6" x14ac:dyDescent="0.3">
      <c r="A98">
        <v>2152009</v>
      </c>
      <c r="B98" s="1">
        <v>44156</v>
      </c>
      <c r="C98" t="s">
        <v>101</v>
      </c>
      <c r="D98" t="s">
        <v>9</v>
      </c>
      <c r="E98">
        <f>(LEN(sales_orders[[#This Row],[line_items]])-LEN(SUBSTITUTE(sales_orders[[#This Row],[line_items]],"""product_name""","")))/LEN("""product_name""")</f>
        <v>7</v>
      </c>
      <c r="F98" s="2" cm="1">
        <f t="array" ref="F98">SUM(INDEX(sales_orders[item_count],1):INDEX(sales_orders[item_count],ROW()-ROW(sales_orders[#Headers])))</f>
        <v>224</v>
      </c>
    </row>
    <row r="99" spans="1:6" x14ac:dyDescent="0.3">
      <c r="A99">
        <v>2165005</v>
      </c>
      <c r="B99" s="1">
        <v>44169</v>
      </c>
      <c r="C99" t="s">
        <v>102</v>
      </c>
      <c r="D99" t="s">
        <v>5</v>
      </c>
      <c r="E99">
        <f>(LEN(sales_orders[[#This Row],[line_items]])-LEN(SUBSTITUTE(sales_orders[[#This Row],[line_items]],"""product_name""","")))/LEN("""product_name""")</f>
        <v>1</v>
      </c>
      <c r="F99" s="2" cm="1">
        <f t="array" ref="F99">SUM(INDEX(sales_orders[item_count],1):INDEX(sales_orders[item_count],ROW()-ROW(sales_orders[#Headers])))</f>
        <v>225</v>
      </c>
    </row>
    <row r="100" spans="1:6" x14ac:dyDescent="0.3">
      <c r="A100">
        <v>2175000</v>
      </c>
      <c r="B100" s="1">
        <v>44179</v>
      </c>
      <c r="C100" t="s">
        <v>103</v>
      </c>
      <c r="D100" t="s">
        <v>5</v>
      </c>
      <c r="E100">
        <f>(LEN(sales_orders[[#This Row],[line_items]])-LEN(SUBSTITUTE(sales_orders[[#This Row],[line_items]],"""product_name""","")))/LEN("""product_name""")</f>
        <v>4</v>
      </c>
      <c r="F100" s="2" cm="1">
        <f t="array" ref="F100">SUM(INDEX(sales_orders[item_count],1):INDEX(sales_orders[item_count],ROW()-ROW(sales_orders[#Headers])))</f>
        <v>229</v>
      </c>
    </row>
    <row r="101" spans="1:6" x14ac:dyDescent="0.3">
      <c r="A101">
        <v>2192014</v>
      </c>
      <c r="B101" s="1">
        <v>44196</v>
      </c>
      <c r="C101" t="s">
        <v>104</v>
      </c>
      <c r="D101" t="s">
        <v>5</v>
      </c>
      <c r="E101">
        <f>(LEN(sales_orders[[#This Row],[line_items]])-LEN(SUBSTITUTE(sales_orders[[#This Row],[line_items]],"""product_name""","")))/LEN("""product_name""")</f>
        <v>1</v>
      </c>
      <c r="F101" s="2" cm="1">
        <f t="array" ref="F101">SUM(INDEX(sales_orders[item_count],1):INDEX(sales_orders[item_count],ROW()-ROW(sales_orders[#Headers])))</f>
        <v>230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3B44-03D2-4374-9FC2-F160CA12681F}">
  <dimension ref="A1:K231"/>
  <sheetViews>
    <sheetView topLeftCell="D1" workbookViewId="0">
      <selection activeCell="H2" sqref="H2"/>
    </sheetView>
  </sheetViews>
  <sheetFormatPr baseColWidth="10" defaultRowHeight="14.4" x14ac:dyDescent="0.3"/>
  <cols>
    <col min="1" max="1" width="5.21875" customWidth="1"/>
    <col min="2" max="2" width="15.21875" customWidth="1"/>
    <col min="3" max="3" width="14.88671875" customWidth="1"/>
    <col min="4" max="4" width="8" bestFit="1" customWidth="1"/>
    <col min="5" max="5" width="10.33203125" style="1" bestFit="1" customWidth="1"/>
    <col min="6" max="6" width="12" customWidth="1"/>
    <col min="7" max="7" width="11.77734375" customWidth="1"/>
    <col min="8" max="8" width="63.77734375" bestFit="1" customWidth="1"/>
    <col min="9" max="9" width="4.21875" style="4" customWidth="1"/>
    <col min="10" max="10" width="10.5546875" style="3" bestFit="1" customWidth="1"/>
  </cols>
  <sheetData>
    <row r="1" spans="1:11" x14ac:dyDescent="0.3">
      <c r="A1" t="s">
        <v>107</v>
      </c>
      <c r="B1" t="s">
        <v>112</v>
      </c>
      <c r="C1" t="s">
        <v>113</v>
      </c>
      <c r="D1" t="s">
        <v>114</v>
      </c>
      <c r="E1" s="1" t="s">
        <v>115</v>
      </c>
      <c r="F1" t="s">
        <v>116</v>
      </c>
      <c r="G1" t="s">
        <v>117</v>
      </c>
      <c r="H1" t="s">
        <v>111</v>
      </c>
      <c r="I1" s="4" t="s">
        <v>108</v>
      </c>
      <c r="J1" s="3" t="s">
        <v>109</v>
      </c>
      <c r="K1" t="s">
        <v>110</v>
      </c>
    </row>
    <row r="2" spans="1:11" x14ac:dyDescent="0.3">
      <c r="A2">
        <v>1</v>
      </c>
      <c r="B2">
        <f>_xlfn.XMATCH(A2,sales_orders[acu_items],1)</f>
        <v>1</v>
      </c>
      <c r="C2" cm="1">
        <f t="array" ref="C2">A2-IF(B2=1,0,INDEX(sales_orders[acu_items],B2-1))</f>
        <v>1</v>
      </c>
      <c r="D2" cm="1">
        <f t="array" ref="D2">INDEX(sales_orders[order_number],B2)</f>
        <v>387005</v>
      </c>
      <c r="E2" s="1" cm="1">
        <f t="array" ref="E2">INDEX(sales_orders[order_date],B2)</f>
        <v>42391</v>
      </c>
      <c r="F2" t="str" cm="1">
        <f t="array" ref="F2">INDEX(sales_orders[fulfillment],B2)</f>
        <v>In store</v>
      </c>
      <c r="G2" t="str" cm="1">
        <f t="array" ref="G2">INDEX(sales_orders[line_items],B2)</f>
        <v>[_x000D_
  {_x000D_
    "product": {_x000D_
      "product_name": "MGS Age of Empires II Gold Edition2009 E172",_x000D_
      "product_price": 32_x000D_
    },_x000D_
    "quantity": 3_x000D_
  },_x000D_
  {_x000D_
    "product": {_x000D_
      "product_name": "A. Datum Bridge Digital Camera M300 Pink",_x000D_
      "product_price": 186.9_x000D_
    },_x000D_
    "quantity": 2_x000D_
  },_x000D_
  {_x000D_
    "product": {_x000D_
      "product_name": "WWI Desktop PC1.80 E1801 Silver",_x000D_
      "product_price": 269.9_x000D_
    },_x000D_
    "quantity": 1_x000D_
  }_x000D_
]</v>
      </c>
      <c r="H2" t="str">
        <f>_xlfn.TEXTBEFORE(_xlfn.TEXTAFTER(G2,"""product_name"": """,C2),"""")</f>
        <v>MGS Age of Empires II Gold Edition2009 E172</v>
      </c>
      <c r="I2" s="4">
        <f>--TRIM(SUBSTITUTE(SUBSTITUTE(_xlfn.TEXTBEFORE(_xlfn.TEXTAFTER(G2,"""quantity"": ",C2),"}"),CHAR(10),""),CHAR(13),""))</f>
        <v>3</v>
      </c>
      <c r="J2" s="3">
        <f>--TRIM(SUBSTITUTE(SUBSTITUTE(_xlfn.TEXTBEFORE(_xlfn.TEXTAFTER(G2,"""product_price"": ",C2),"}"),CHAR(10),""),CHAR(13),""))</f>
        <v>32</v>
      </c>
      <c r="K2">
        <f>+I2*J2</f>
        <v>96</v>
      </c>
    </row>
    <row r="3" spans="1:11" x14ac:dyDescent="0.3">
      <c r="A3">
        <v>2</v>
      </c>
      <c r="B3">
        <f>_xlfn.XMATCH(A3,sales_orders[acu_items],1)</f>
        <v>1</v>
      </c>
      <c r="C3" cm="1">
        <f t="array" ref="C3">A3-IF(B3=1,0,INDEX(sales_orders[acu_items],B3-1))</f>
        <v>2</v>
      </c>
      <c r="D3" cm="1">
        <f t="array" ref="D3">INDEX(sales_orders[order_number],B3)</f>
        <v>387005</v>
      </c>
      <c r="E3" s="1" cm="1">
        <f t="array" ref="E3">INDEX(sales_orders[order_date],B3)</f>
        <v>42391</v>
      </c>
      <c r="F3" t="str" cm="1">
        <f t="array" ref="F3">INDEX(sales_orders[fulfillment],B3)</f>
        <v>In store</v>
      </c>
      <c r="G3" t="str" cm="1">
        <f t="array" ref="G3">INDEX(sales_orders[line_items],B3)</f>
        <v>[_x000D_
  {_x000D_
    "product": {_x000D_
      "product_name": "MGS Age of Empires II Gold Edition2009 E172",_x000D_
      "product_price": 32_x000D_
    },_x000D_
    "quantity": 3_x000D_
  },_x000D_
  {_x000D_
    "product": {_x000D_
      "product_name": "A. Datum Bridge Digital Camera M300 Pink",_x000D_
      "product_price": 186.9_x000D_
    },_x000D_
    "quantity": 2_x000D_
  },_x000D_
  {_x000D_
    "product": {_x000D_
      "product_name": "WWI Desktop PC1.80 E1801 Silver",_x000D_
      "product_price": 269.9_x000D_
    },_x000D_
    "quantity": 1_x000D_
  }_x000D_
]</v>
      </c>
      <c r="H3" t="str">
        <f t="shared" ref="H3:H66" si="0">_xlfn.TEXTBEFORE(_xlfn.TEXTAFTER(G3,"""product_name"": """,C3),"""")</f>
        <v>A. Datum Bridge Digital Camera M300 Pink</v>
      </c>
      <c r="I3" s="4">
        <f t="shared" ref="I3:I66" si="1">--TRIM(SUBSTITUTE(SUBSTITUTE(_xlfn.TEXTBEFORE(_xlfn.TEXTAFTER(G3,"""quantity"": ",C3),"}"),CHAR(10),""),CHAR(13),""))</f>
        <v>2</v>
      </c>
      <c r="J3" s="3">
        <f t="shared" ref="J3:J66" si="2">--TRIM(SUBSTITUTE(SUBSTITUTE(_xlfn.TEXTBEFORE(_xlfn.TEXTAFTER(G3,"""product_price"": ",C3),"}"),CHAR(10),""),CHAR(13),""))</f>
        <v>186.9</v>
      </c>
      <c r="K3">
        <f t="shared" ref="K3:K66" si="3">+I3*J3</f>
        <v>373.8</v>
      </c>
    </row>
    <row r="4" spans="1:11" x14ac:dyDescent="0.3">
      <c r="A4">
        <v>3</v>
      </c>
      <c r="B4">
        <f>_xlfn.XMATCH(A4,sales_orders[acu_items],1)</f>
        <v>1</v>
      </c>
      <c r="C4" cm="1">
        <f t="array" ref="C4">A4-IF(B4=1,0,INDEX(sales_orders[acu_items],B4-1))</f>
        <v>3</v>
      </c>
      <c r="D4" cm="1">
        <f t="array" ref="D4">INDEX(sales_orders[order_number],B4)</f>
        <v>387005</v>
      </c>
      <c r="E4" s="1" cm="1">
        <f t="array" ref="E4">INDEX(sales_orders[order_date],B4)</f>
        <v>42391</v>
      </c>
      <c r="F4" t="str" cm="1">
        <f t="array" ref="F4">INDEX(sales_orders[fulfillment],B4)</f>
        <v>In store</v>
      </c>
      <c r="G4" t="str" cm="1">
        <f t="array" ref="G4">INDEX(sales_orders[line_items],B4)</f>
        <v>[_x000D_
  {_x000D_
    "product": {_x000D_
      "product_name": "MGS Age of Empires II Gold Edition2009 E172",_x000D_
      "product_price": 32_x000D_
    },_x000D_
    "quantity": 3_x000D_
  },_x000D_
  {_x000D_
    "product": {_x000D_
      "product_name": "A. Datum Bridge Digital Camera M300 Pink",_x000D_
      "product_price": 186.9_x000D_
    },_x000D_
    "quantity": 2_x000D_
  },_x000D_
  {_x000D_
    "product": {_x000D_
      "product_name": "WWI Desktop PC1.80 E1801 Silver",_x000D_
      "product_price": 269.9_x000D_
    },_x000D_
    "quantity": 1_x000D_
  }_x000D_
]</v>
      </c>
      <c r="H4" t="str">
        <f t="shared" si="0"/>
        <v>WWI Desktop PC1.80 E1801 Silver</v>
      </c>
      <c r="I4" s="4">
        <f t="shared" si="1"/>
        <v>1</v>
      </c>
      <c r="J4" s="3">
        <f t="shared" si="2"/>
        <v>269.89999999999998</v>
      </c>
      <c r="K4">
        <f t="shared" si="3"/>
        <v>269.89999999999998</v>
      </c>
    </row>
    <row r="5" spans="1:11" x14ac:dyDescent="0.3">
      <c r="A5">
        <v>4</v>
      </c>
      <c r="B5">
        <f>_xlfn.XMATCH(A5,sales_orders[acu_items],1)</f>
        <v>2</v>
      </c>
      <c r="C5" cm="1">
        <f t="array" ref="C5">A5-IF(B5=1,0,INDEX(sales_orders[acu_items],B5-1))</f>
        <v>1</v>
      </c>
      <c r="D5" cm="1">
        <f t="array" ref="D5">INDEX(sales_orders[order_number],B5)</f>
        <v>395005</v>
      </c>
      <c r="E5" s="1" cm="1">
        <f t="array" ref="E5">INDEX(sales_orders[order_date],B5)</f>
        <v>42399</v>
      </c>
      <c r="F5" t="str" cm="1">
        <f t="array" ref="F5">INDEX(sales_orders[fulfillment],B5)</f>
        <v>In store</v>
      </c>
      <c r="G5" t="str" cm="1">
        <f t="array" ref="G5">INDEX(sales_orders[line_items],B5)</f>
        <v>[_x000D_
  {_x000D_
    "product": {_x000D_
      "product_name": "Contoso DVD 60 DVD Storage Binder L20 Black",_x000D_
      "product_price": 22.89_x000D_
    },_x000D_
    "quantity": 5_x000D_
  },_x000D_
  {_x000D_
    "product": {_x000D_
      "product_name": "SV DVD 38 DVD Storage Binder E25 Silver",_x000D_
      "product_price": 9.99_x000D_
    },_x000D_
    "quantity": 5_x000D_
  }_x000D_
]</v>
      </c>
      <c r="H5" t="str">
        <f t="shared" si="0"/>
        <v>Contoso DVD 60 DVD Storage Binder L20 Black</v>
      </c>
      <c r="I5" s="4">
        <f t="shared" si="1"/>
        <v>5</v>
      </c>
      <c r="J5" s="3">
        <f t="shared" si="2"/>
        <v>22.89</v>
      </c>
      <c r="K5">
        <f t="shared" si="3"/>
        <v>114.45</v>
      </c>
    </row>
    <row r="6" spans="1:11" x14ac:dyDescent="0.3">
      <c r="A6">
        <v>5</v>
      </c>
      <c r="B6">
        <f>_xlfn.XMATCH(A6,sales_orders[acu_items],1)</f>
        <v>2</v>
      </c>
      <c r="C6" cm="1">
        <f t="array" ref="C6">A6-IF(B6=1,0,INDEX(sales_orders[acu_items],B6-1))</f>
        <v>2</v>
      </c>
      <c r="D6" cm="1">
        <f t="array" ref="D6">INDEX(sales_orders[order_number],B6)</f>
        <v>395005</v>
      </c>
      <c r="E6" s="1" cm="1">
        <f t="array" ref="E6">INDEX(sales_orders[order_date],B6)</f>
        <v>42399</v>
      </c>
      <c r="F6" t="str" cm="1">
        <f t="array" ref="F6">INDEX(sales_orders[fulfillment],B6)</f>
        <v>In store</v>
      </c>
      <c r="G6" t="str" cm="1">
        <f t="array" ref="G6">INDEX(sales_orders[line_items],B6)</f>
        <v>[_x000D_
  {_x000D_
    "product": {_x000D_
      "product_name": "Contoso DVD 60 DVD Storage Binder L20 Black",_x000D_
      "product_price": 22.89_x000D_
    },_x000D_
    "quantity": 5_x000D_
  },_x000D_
  {_x000D_
    "product": {_x000D_
      "product_name": "SV DVD 38 DVD Storage Binder E25 Silver",_x000D_
      "product_price": 9.99_x000D_
    },_x000D_
    "quantity": 5_x000D_
  }_x000D_
]</v>
      </c>
      <c r="H6" t="str">
        <f t="shared" si="0"/>
        <v>SV DVD 38 DVD Storage Binder E25 Silver</v>
      </c>
      <c r="I6" s="4">
        <f t="shared" si="1"/>
        <v>5</v>
      </c>
      <c r="J6" s="3">
        <f t="shared" si="2"/>
        <v>9.99</v>
      </c>
      <c r="K6">
        <f t="shared" si="3"/>
        <v>49.95</v>
      </c>
    </row>
    <row r="7" spans="1:11" x14ac:dyDescent="0.3">
      <c r="A7">
        <v>6</v>
      </c>
      <c r="B7">
        <f>_xlfn.XMATCH(A7,sales_orders[acu_items],1)</f>
        <v>3</v>
      </c>
      <c r="C7" cm="1">
        <f t="array" ref="C7">A7-IF(B7=1,0,INDEX(sales_orders[acu_items],B7-1))</f>
        <v>1</v>
      </c>
      <c r="D7" cm="1">
        <f t="array" ref="D7">INDEX(sales_orders[order_number],B7)</f>
        <v>423011</v>
      </c>
      <c r="E7" s="1" cm="1">
        <f t="array" ref="E7">INDEX(sales_orders[order_date],B7)</f>
        <v>42427</v>
      </c>
      <c r="F7" t="str" cm="1">
        <f t="array" ref="F7">INDEX(sales_orders[fulfillment],B7)</f>
        <v>In store</v>
      </c>
      <c r="G7" t="str" cm="1">
        <f t="array" ref="G7">INDEX(sales_orders[line_items],B7)</f>
        <v>[_x000D_
  {_x000D_
    "product": {_x000D_
      "product_name": "Contoso 16GB Mp5 Player M1600 Blue",_x000D_
      "product_price": 199.9_x000D_
    },_x000D_
    "quantity": 1_x000D_
  }_x000D_
]</v>
      </c>
      <c r="H7" t="str">
        <f t="shared" si="0"/>
        <v>Contoso 16GB Mp5 Player M1600 Blue</v>
      </c>
      <c r="I7" s="4">
        <f t="shared" si="1"/>
        <v>1</v>
      </c>
      <c r="J7" s="3">
        <f t="shared" si="2"/>
        <v>199.9</v>
      </c>
      <c r="K7">
        <f t="shared" si="3"/>
        <v>199.9</v>
      </c>
    </row>
    <row r="8" spans="1:11" x14ac:dyDescent="0.3">
      <c r="A8">
        <v>7</v>
      </c>
      <c r="B8">
        <f>_xlfn.XMATCH(A8,sales_orders[acu_items],1)</f>
        <v>4</v>
      </c>
      <c r="C8" cm="1">
        <f t="array" ref="C8">A8-IF(B8=1,0,INDEX(sales_orders[acu_items],B8-1))</f>
        <v>1</v>
      </c>
      <c r="D8" cm="1">
        <f t="array" ref="D8">INDEX(sales_orders[order_number],B8)</f>
        <v>600006</v>
      </c>
      <c r="E8" s="1" cm="1">
        <f t="array" ref="E8">INDEX(sales_orders[order_date],B8)</f>
        <v>42604</v>
      </c>
      <c r="F8" t="str" cm="1">
        <f t="array" ref="F8">INDEX(sales_orders[fulfillment],B8)</f>
        <v>Online</v>
      </c>
      <c r="G8" t="str" cm="1">
        <f t="array" ref="G8">INDEX(sales_orders[line_items],B8)</f>
        <v>[_x000D_
  {_x000D_
    "product": {_x000D_
      "product_name": "Contoso Water Heater 2.6GPM E0900 Green",_x000D_
      "product_price": 508_x000D_
    },_x000D_
    "quantity": 1_x000D_
  },_x000D_
  {_x000D_
    "product": {_x000D_
      "product_name": "The Phone Company Pen Touch Screen Phones-2.6 M320 Black",_x000D_
      "product_price": 290_x000D_
    },_x000D_
    "quantity": 1_x000D_
  },_x000D_
  {_x000D_
    "product": {_x000D_
      "product_name": "Contoso USB Wave Multi-media Keyboard E280 Black",_x000D_
      "product_price": 15.9_x000D_
    },_x000D_
    "quantity": 6_x000D_
  },_x000D_
  {_x000D_
    "product": {_x000D_
      "product_name": "SV 16xDVD M320 Black",_x000D_
      "product_price": 119_x000D_
    },_x000D_
    "quantity": 7_x000D_
  }_x000D_
]</v>
      </c>
      <c r="H8" t="str">
        <f t="shared" si="0"/>
        <v>Contoso Water Heater 2.6GPM E0900 Green</v>
      </c>
      <c r="I8" s="4">
        <f t="shared" si="1"/>
        <v>1</v>
      </c>
      <c r="J8" s="3">
        <f t="shared" si="2"/>
        <v>508</v>
      </c>
      <c r="K8">
        <f t="shared" si="3"/>
        <v>508</v>
      </c>
    </row>
    <row r="9" spans="1:11" x14ac:dyDescent="0.3">
      <c r="A9">
        <v>8</v>
      </c>
      <c r="B9">
        <f>_xlfn.XMATCH(A9,sales_orders[acu_items],1)</f>
        <v>4</v>
      </c>
      <c r="C9" cm="1">
        <f t="array" ref="C9">A9-IF(B9=1,0,INDEX(sales_orders[acu_items],B9-1))</f>
        <v>2</v>
      </c>
      <c r="D9" cm="1">
        <f t="array" ref="D9">INDEX(sales_orders[order_number],B9)</f>
        <v>600006</v>
      </c>
      <c r="E9" s="1" cm="1">
        <f t="array" ref="E9">INDEX(sales_orders[order_date],B9)</f>
        <v>42604</v>
      </c>
      <c r="F9" t="str" cm="1">
        <f t="array" ref="F9">INDEX(sales_orders[fulfillment],B9)</f>
        <v>Online</v>
      </c>
      <c r="G9" t="str" cm="1">
        <f t="array" ref="G9">INDEX(sales_orders[line_items],B9)</f>
        <v>[_x000D_
  {_x000D_
    "product": {_x000D_
      "product_name": "Contoso Water Heater 2.6GPM E0900 Green",_x000D_
      "product_price": 508_x000D_
    },_x000D_
    "quantity": 1_x000D_
  },_x000D_
  {_x000D_
    "product": {_x000D_
      "product_name": "The Phone Company Pen Touch Screen Phones-2.6 M320 Black",_x000D_
      "product_price": 290_x000D_
    },_x000D_
    "quantity": 1_x000D_
  },_x000D_
  {_x000D_
    "product": {_x000D_
      "product_name": "Contoso USB Wave Multi-media Keyboard E280 Black",_x000D_
      "product_price": 15.9_x000D_
    },_x000D_
    "quantity": 6_x000D_
  },_x000D_
  {_x000D_
    "product": {_x000D_
      "product_name": "SV 16xDVD M320 Black",_x000D_
      "product_price": 119_x000D_
    },_x000D_
    "quantity": 7_x000D_
  }_x000D_
]</v>
      </c>
      <c r="H9" t="str">
        <f t="shared" si="0"/>
        <v>The Phone Company Pen Touch Screen Phones-2.6 M320 Black</v>
      </c>
      <c r="I9" s="4">
        <f t="shared" si="1"/>
        <v>1</v>
      </c>
      <c r="J9" s="3">
        <f t="shared" si="2"/>
        <v>290</v>
      </c>
      <c r="K9">
        <f t="shared" si="3"/>
        <v>290</v>
      </c>
    </row>
    <row r="10" spans="1:11" x14ac:dyDescent="0.3">
      <c r="A10">
        <v>9</v>
      </c>
      <c r="B10">
        <f>_xlfn.XMATCH(A10,sales_orders[acu_items],1)</f>
        <v>4</v>
      </c>
      <c r="C10" cm="1">
        <f t="array" ref="C10">A10-IF(B10=1,0,INDEX(sales_orders[acu_items],B10-1))</f>
        <v>3</v>
      </c>
      <c r="D10" cm="1">
        <f t="array" ref="D10">INDEX(sales_orders[order_number],B10)</f>
        <v>600006</v>
      </c>
      <c r="E10" s="1" cm="1">
        <f t="array" ref="E10">INDEX(sales_orders[order_date],B10)</f>
        <v>42604</v>
      </c>
      <c r="F10" t="str" cm="1">
        <f t="array" ref="F10">INDEX(sales_orders[fulfillment],B10)</f>
        <v>Online</v>
      </c>
      <c r="G10" t="str" cm="1">
        <f t="array" ref="G10">INDEX(sales_orders[line_items],B10)</f>
        <v>[_x000D_
  {_x000D_
    "product": {_x000D_
      "product_name": "Contoso Water Heater 2.6GPM E0900 Green",_x000D_
      "product_price": 508_x000D_
    },_x000D_
    "quantity": 1_x000D_
  },_x000D_
  {_x000D_
    "product": {_x000D_
      "product_name": "The Phone Company Pen Touch Screen Phones-2.6 M320 Black",_x000D_
      "product_price": 290_x000D_
    },_x000D_
    "quantity": 1_x000D_
  },_x000D_
  {_x000D_
    "product": {_x000D_
      "product_name": "Contoso USB Wave Multi-media Keyboard E280 Black",_x000D_
      "product_price": 15.9_x000D_
    },_x000D_
    "quantity": 6_x000D_
  },_x000D_
  {_x000D_
    "product": {_x000D_
      "product_name": "SV 16xDVD M320 Black",_x000D_
      "product_price": 119_x000D_
    },_x000D_
    "quantity": 7_x000D_
  }_x000D_
]</v>
      </c>
      <c r="H10" t="str">
        <f t="shared" si="0"/>
        <v>Contoso USB Wave Multi-media Keyboard E280 Black</v>
      </c>
      <c r="I10" s="4">
        <f t="shared" si="1"/>
        <v>6</v>
      </c>
      <c r="J10" s="3">
        <f t="shared" si="2"/>
        <v>15.9</v>
      </c>
      <c r="K10">
        <f t="shared" si="3"/>
        <v>95.4</v>
      </c>
    </row>
    <row r="11" spans="1:11" x14ac:dyDescent="0.3">
      <c r="A11">
        <v>10</v>
      </c>
      <c r="B11">
        <f>_xlfn.XMATCH(A11,sales_orders[acu_items],1)</f>
        <v>4</v>
      </c>
      <c r="C11" cm="1">
        <f t="array" ref="C11">A11-IF(B11=1,0,INDEX(sales_orders[acu_items],B11-1))</f>
        <v>4</v>
      </c>
      <c r="D11" cm="1">
        <f t="array" ref="D11">INDEX(sales_orders[order_number],B11)</f>
        <v>600006</v>
      </c>
      <c r="E11" s="1" cm="1">
        <f t="array" ref="E11">INDEX(sales_orders[order_date],B11)</f>
        <v>42604</v>
      </c>
      <c r="F11" t="str" cm="1">
        <f t="array" ref="F11">INDEX(sales_orders[fulfillment],B11)</f>
        <v>Online</v>
      </c>
      <c r="G11" t="str" cm="1">
        <f t="array" ref="G11">INDEX(sales_orders[line_items],B11)</f>
        <v>[_x000D_
  {_x000D_
    "product": {_x000D_
      "product_name": "Contoso Water Heater 2.6GPM E0900 Green",_x000D_
      "product_price": 508_x000D_
    },_x000D_
    "quantity": 1_x000D_
  },_x000D_
  {_x000D_
    "product": {_x000D_
      "product_name": "The Phone Company Pen Touch Screen Phones-2.6 M320 Black",_x000D_
      "product_price": 290_x000D_
    },_x000D_
    "quantity": 1_x000D_
  },_x000D_
  {_x000D_
    "product": {_x000D_
      "product_name": "Contoso USB Wave Multi-media Keyboard E280 Black",_x000D_
      "product_price": 15.9_x000D_
    },_x000D_
    "quantity": 6_x000D_
  },_x000D_
  {_x000D_
    "product": {_x000D_
      "product_name": "SV 16xDVD M320 Black",_x000D_
      "product_price": 119_x000D_
    },_x000D_
    "quantity": 7_x000D_
  }_x000D_
]</v>
      </c>
      <c r="H11" t="str">
        <f t="shared" si="0"/>
        <v>SV 16xDVD M320 Black</v>
      </c>
      <c r="I11" s="4">
        <f t="shared" si="1"/>
        <v>7</v>
      </c>
      <c r="J11" s="3">
        <f t="shared" si="2"/>
        <v>119</v>
      </c>
      <c r="K11">
        <f t="shared" si="3"/>
        <v>833</v>
      </c>
    </row>
    <row r="12" spans="1:11" x14ac:dyDescent="0.3">
      <c r="A12">
        <v>11</v>
      </c>
      <c r="B12">
        <f>_xlfn.XMATCH(A12,sales_orders[acu_items],1)</f>
        <v>5</v>
      </c>
      <c r="C12" cm="1">
        <f t="array" ref="C12">A12-IF(B12=1,0,INDEX(sales_orders[acu_items],B12-1))</f>
        <v>1</v>
      </c>
      <c r="D12" cm="1">
        <f t="array" ref="D12">INDEX(sales_orders[order_number],B12)</f>
        <v>652002</v>
      </c>
      <c r="E12" s="1" cm="1">
        <f t="array" ref="E12">INDEX(sales_orders[order_date],B12)</f>
        <v>42656</v>
      </c>
      <c r="F12" t="str" cm="1">
        <f t="array" ref="F12">INDEX(sales_orders[fulfillment],B12)</f>
        <v>In store</v>
      </c>
      <c r="G12" t="str" cm="1">
        <f t="array" ref="G12">INDEX(sales_orders[line_items],B12)</f>
        <v>[_x000D_
  {_x000D_
    "product": {_x000D_
      "product_name": "Contoso Genuine Leather Grip Belt E322 Black",_x000D_
      "product_price": 77.99_x000D_
    },_x000D_
    "quantity": 8_x000D_
  }_x000D_
]</v>
      </c>
      <c r="H12" t="str">
        <f t="shared" si="0"/>
        <v>Contoso Genuine Leather Grip Belt E322 Black</v>
      </c>
      <c r="I12" s="4">
        <f t="shared" si="1"/>
        <v>8</v>
      </c>
      <c r="J12" s="3">
        <f t="shared" si="2"/>
        <v>77.989999999999995</v>
      </c>
      <c r="K12">
        <f t="shared" si="3"/>
        <v>623.91999999999996</v>
      </c>
    </row>
    <row r="13" spans="1:11" x14ac:dyDescent="0.3">
      <c r="A13">
        <v>12</v>
      </c>
      <c r="B13">
        <f>_xlfn.XMATCH(A13,sales_orders[acu_items],1)</f>
        <v>6</v>
      </c>
      <c r="C13" cm="1">
        <f t="array" ref="C13">A13-IF(B13=1,0,INDEX(sales_orders[acu_items],B13-1))</f>
        <v>1</v>
      </c>
      <c r="D13" cm="1">
        <f t="array" ref="D13">INDEX(sales_orders[order_number],B13)</f>
        <v>666011</v>
      </c>
      <c r="E13" s="1" cm="1">
        <f t="array" ref="E13">INDEX(sales_orders[order_date],B13)</f>
        <v>42670</v>
      </c>
      <c r="F13" t="str" cm="1">
        <f t="array" ref="F13">INDEX(sales_orders[fulfillment],B13)</f>
        <v>In store</v>
      </c>
      <c r="G13" t="str" cm="1">
        <f t="array" ref="G13">INDEX(sales_orders[line_items],B13)</f>
        <v>[_x000D_
  {_x000D_
    "product": {_x000D_
      "product_name": "WWI Wireless Transmitter and Bluetooth Headphones X250 Silver",_x000D_
      "product_price": 249.99_x000D_
    },_x000D_
    "quantity": 7_x000D_
  },_x000D_
  {_x000D_
    "product": {_x000D_
      "product_name": "Adventure Works Desktop PC3.0 MS300 Silver",_x000D_
      "product_price": 469_x000D_
    },_x000D_
    "quantity": 1_x000D_
  },_x000D_
  {_x000D_
    "product": {_x000D_
      "product_name": "SV 16xDVD M310 Black",_x000D_
      "product_price": 129_x000D_
    },_x000D_
    "quantity": 2_x000D_
  }_x000D_
]</v>
      </c>
      <c r="H13" t="str">
        <f t="shared" si="0"/>
        <v>WWI Wireless Transmitter and Bluetooth Headphones X250 Silver</v>
      </c>
      <c r="I13" s="4">
        <f t="shared" si="1"/>
        <v>7</v>
      </c>
      <c r="J13" s="3">
        <f t="shared" si="2"/>
        <v>249.99</v>
      </c>
      <c r="K13">
        <f t="shared" si="3"/>
        <v>1749.93</v>
      </c>
    </row>
    <row r="14" spans="1:11" x14ac:dyDescent="0.3">
      <c r="A14">
        <v>13</v>
      </c>
      <c r="B14">
        <f>_xlfn.XMATCH(A14,sales_orders[acu_items],1)</f>
        <v>6</v>
      </c>
      <c r="C14" cm="1">
        <f t="array" ref="C14">A14-IF(B14=1,0,INDEX(sales_orders[acu_items],B14-1))</f>
        <v>2</v>
      </c>
      <c r="D14" cm="1">
        <f t="array" ref="D14">INDEX(sales_orders[order_number],B14)</f>
        <v>666011</v>
      </c>
      <c r="E14" s="1" cm="1">
        <f t="array" ref="E14">INDEX(sales_orders[order_date],B14)</f>
        <v>42670</v>
      </c>
      <c r="F14" t="str" cm="1">
        <f t="array" ref="F14">INDEX(sales_orders[fulfillment],B14)</f>
        <v>In store</v>
      </c>
      <c r="G14" t="str" cm="1">
        <f t="array" ref="G14">INDEX(sales_orders[line_items],B14)</f>
        <v>[_x000D_
  {_x000D_
    "product": {_x000D_
      "product_name": "WWI Wireless Transmitter and Bluetooth Headphones X250 Silver",_x000D_
      "product_price": 249.99_x000D_
    },_x000D_
    "quantity": 7_x000D_
  },_x000D_
  {_x000D_
    "product": {_x000D_
      "product_name": "Adventure Works Desktop PC3.0 MS300 Silver",_x000D_
      "product_price": 469_x000D_
    },_x000D_
    "quantity": 1_x000D_
  },_x000D_
  {_x000D_
    "product": {_x000D_
      "product_name": "SV 16xDVD M310 Black",_x000D_
      "product_price": 129_x000D_
    },_x000D_
    "quantity": 2_x000D_
  }_x000D_
]</v>
      </c>
      <c r="H14" t="str">
        <f t="shared" si="0"/>
        <v>Adventure Works Desktop PC3.0 MS300 Silver</v>
      </c>
      <c r="I14" s="4">
        <f t="shared" si="1"/>
        <v>1</v>
      </c>
      <c r="J14" s="3">
        <f t="shared" si="2"/>
        <v>469</v>
      </c>
      <c r="K14">
        <f t="shared" si="3"/>
        <v>469</v>
      </c>
    </row>
    <row r="15" spans="1:11" x14ac:dyDescent="0.3">
      <c r="A15">
        <v>14</v>
      </c>
      <c r="B15">
        <f>_xlfn.XMATCH(A15,sales_orders[acu_items],1)</f>
        <v>6</v>
      </c>
      <c r="C15" cm="1">
        <f t="array" ref="C15">A15-IF(B15=1,0,INDEX(sales_orders[acu_items],B15-1))</f>
        <v>3</v>
      </c>
      <c r="D15" cm="1">
        <f t="array" ref="D15">INDEX(sales_orders[order_number],B15)</f>
        <v>666011</v>
      </c>
      <c r="E15" s="1" cm="1">
        <f t="array" ref="E15">INDEX(sales_orders[order_date],B15)</f>
        <v>42670</v>
      </c>
      <c r="F15" t="str" cm="1">
        <f t="array" ref="F15">INDEX(sales_orders[fulfillment],B15)</f>
        <v>In store</v>
      </c>
      <c r="G15" t="str" cm="1">
        <f t="array" ref="G15">INDEX(sales_orders[line_items],B15)</f>
        <v>[_x000D_
  {_x000D_
    "product": {_x000D_
      "product_name": "WWI Wireless Transmitter and Bluetooth Headphones X250 Silver",_x000D_
      "product_price": 249.99_x000D_
    },_x000D_
    "quantity": 7_x000D_
  },_x000D_
  {_x000D_
    "product": {_x000D_
      "product_name": "Adventure Works Desktop PC3.0 MS300 Silver",_x000D_
      "product_price": 469_x000D_
    },_x000D_
    "quantity": 1_x000D_
  },_x000D_
  {_x000D_
    "product": {_x000D_
      "product_name": "SV 16xDVD M310 Black",_x000D_
      "product_price": 129_x000D_
    },_x000D_
    "quantity": 2_x000D_
  }_x000D_
]</v>
      </c>
      <c r="H15" t="str">
        <f t="shared" si="0"/>
        <v>SV 16xDVD M310 Black</v>
      </c>
      <c r="I15" s="4">
        <f t="shared" si="1"/>
        <v>2</v>
      </c>
      <c r="J15" s="3">
        <f t="shared" si="2"/>
        <v>129</v>
      </c>
      <c r="K15">
        <f t="shared" si="3"/>
        <v>258</v>
      </c>
    </row>
    <row r="16" spans="1:11" x14ac:dyDescent="0.3">
      <c r="A16">
        <v>15</v>
      </c>
      <c r="B16">
        <f>_xlfn.XMATCH(A16,sales_orders[acu_items],1)</f>
        <v>7</v>
      </c>
      <c r="C16" cm="1">
        <f t="array" ref="C16">A16-IF(B16=1,0,INDEX(sales_orders[acu_items],B16-1))</f>
        <v>1</v>
      </c>
      <c r="D16" cm="1">
        <f t="array" ref="D16">INDEX(sales_orders[order_number],B16)</f>
        <v>701003</v>
      </c>
      <c r="E16" s="1" cm="1">
        <f t="array" ref="E16">INDEX(sales_orders[order_date],B16)</f>
        <v>42705</v>
      </c>
      <c r="F16" t="str" cm="1">
        <f t="array" ref="F16">INDEX(sales_orders[fulfillment],B16)</f>
        <v>In store</v>
      </c>
      <c r="G16" t="str" cm="1">
        <f t="array" ref="G16">INDEX(sales_orders[line_items],B16)</f>
        <v>[_x000D_
  {_x000D_
    "product": {_x000D_
      "product_name": "Adventure Works Coffee Maker 4C E080 Black",_x000D_
      "product_price": 129.9_x000D_
    },_x000D_
    "quantity": 1_x000D_
  }_x000D_
]</v>
      </c>
      <c r="H16" t="str">
        <f t="shared" si="0"/>
        <v>Adventure Works Coffee Maker 4C E080 Black</v>
      </c>
      <c r="I16" s="4">
        <f t="shared" si="1"/>
        <v>1</v>
      </c>
      <c r="J16" s="3">
        <f t="shared" si="2"/>
        <v>129.9</v>
      </c>
      <c r="K16">
        <f t="shared" si="3"/>
        <v>129.9</v>
      </c>
    </row>
    <row r="17" spans="1:11" x14ac:dyDescent="0.3">
      <c r="A17">
        <v>16</v>
      </c>
      <c r="B17">
        <f>_xlfn.XMATCH(A17,sales_orders[acu_items],1)</f>
        <v>8</v>
      </c>
      <c r="C17" cm="1">
        <f t="array" ref="C17">A17-IF(B17=1,0,INDEX(sales_orders[acu_items],B17-1))</f>
        <v>1</v>
      </c>
      <c r="D17" cm="1">
        <f t="array" ref="D17">INDEX(sales_orders[order_number],B17)</f>
        <v>728013</v>
      </c>
      <c r="E17" s="1" cm="1">
        <f t="array" ref="E17">INDEX(sales_orders[order_date],B17)</f>
        <v>42732</v>
      </c>
      <c r="F17" t="str" cm="1">
        <f t="array" ref="F17">INDEX(sales_orders[fulfillment],B17)</f>
        <v>In store</v>
      </c>
      <c r="G17" t="str" cm="1">
        <f t="array" ref="G17">INDEX(sales_orders[line_items],B17)</f>
        <v>[_x000D_
  {_x000D_
    "product": {_x000D_
      "product_name": "SV DVD 58 DVD Storage Binder M55 Black",_x000D_
      "product_price": 13.89_x000D_
    },_x000D_
    "quantity": 3_x000D_
  },_x000D_
  {_x000D_
    "product": {_x000D_
      "product_name": "Proseware Wall Lamp E0315 Blue",_x000D_
      "product_price": 101.99_x000D_
    },_x000D_
    "quantity": 2_x000D_
  },_x000D_
  {_x000D_
    "product": {_x000D_
      "product_name": "Fabrikam Coffee Maker Auto 5C E090 Black",_x000D_
      "product_price": 163_x000D_
    },_x000D_
    "quantity": 3_x000D_
  }_x000D_
]</v>
      </c>
      <c r="H17" t="str">
        <f t="shared" si="0"/>
        <v>SV DVD 58 DVD Storage Binder M55 Black</v>
      </c>
      <c r="I17" s="4">
        <f t="shared" si="1"/>
        <v>3</v>
      </c>
      <c r="J17" s="3">
        <f t="shared" si="2"/>
        <v>13.89</v>
      </c>
      <c r="K17">
        <f t="shared" si="3"/>
        <v>41.67</v>
      </c>
    </row>
    <row r="18" spans="1:11" x14ac:dyDescent="0.3">
      <c r="A18">
        <v>17</v>
      </c>
      <c r="B18">
        <f>_xlfn.XMATCH(A18,sales_orders[acu_items],1)</f>
        <v>8</v>
      </c>
      <c r="C18" cm="1">
        <f t="array" ref="C18">A18-IF(B18=1,0,INDEX(sales_orders[acu_items],B18-1))</f>
        <v>2</v>
      </c>
      <c r="D18" cm="1">
        <f t="array" ref="D18">INDEX(sales_orders[order_number],B18)</f>
        <v>728013</v>
      </c>
      <c r="E18" s="1" cm="1">
        <f t="array" ref="E18">INDEX(sales_orders[order_date],B18)</f>
        <v>42732</v>
      </c>
      <c r="F18" t="str" cm="1">
        <f t="array" ref="F18">INDEX(sales_orders[fulfillment],B18)</f>
        <v>In store</v>
      </c>
      <c r="G18" t="str" cm="1">
        <f t="array" ref="G18">INDEX(sales_orders[line_items],B18)</f>
        <v>[_x000D_
  {_x000D_
    "product": {_x000D_
      "product_name": "SV DVD 58 DVD Storage Binder M55 Black",_x000D_
      "product_price": 13.89_x000D_
    },_x000D_
    "quantity": 3_x000D_
  },_x000D_
  {_x000D_
    "product": {_x000D_
      "product_name": "Proseware Wall Lamp E0315 Blue",_x000D_
      "product_price": 101.99_x000D_
    },_x000D_
    "quantity": 2_x000D_
  },_x000D_
  {_x000D_
    "product": {_x000D_
      "product_name": "Fabrikam Coffee Maker Auto 5C E090 Black",_x000D_
      "product_price": 163_x000D_
    },_x000D_
    "quantity": 3_x000D_
  }_x000D_
]</v>
      </c>
      <c r="H18" t="str">
        <f t="shared" si="0"/>
        <v>Proseware Wall Lamp E0315 Blue</v>
      </c>
      <c r="I18" s="4">
        <f t="shared" si="1"/>
        <v>2</v>
      </c>
      <c r="J18" s="3">
        <f t="shared" si="2"/>
        <v>101.99</v>
      </c>
      <c r="K18">
        <f t="shared" si="3"/>
        <v>203.98</v>
      </c>
    </row>
    <row r="19" spans="1:11" x14ac:dyDescent="0.3">
      <c r="A19">
        <v>18</v>
      </c>
      <c r="B19">
        <f>_xlfn.XMATCH(A19,sales_orders[acu_items],1)</f>
        <v>8</v>
      </c>
      <c r="C19" cm="1">
        <f t="array" ref="C19">A19-IF(B19=1,0,INDEX(sales_orders[acu_items],B19-1))</f>
        <v>3</v>
      </c>
      <c r="D19" cm="1">
        <f t="array" ref="D19">INDEX(sales_orders[order_number],B19)</f>
        <v>728013</v>
      </c>
      <c r="E19" s="1" cm="1">
        <f t="array" ref="E19">INDEX(sales_orders[order_date],B19)</f>
        <v>42732</v>
      </c>
      <c r="F19" t="str" cm="1">
        <f t="array" ref="F19">INDEX(sales_orders[fulfillment],B19)</f>
        <v>In store</v>
      </c>
      <c r="G19" t="str" cm="1">
        <f t="array" ref="G19">INDEX(sales_orders[line_items],B19)</f>
        <v>[_x000D_
  {_x000D_
    "product": {_x000D_
      "product_name": "SV DVD 58 DVD Storage Binder M55 Black",_x000D_
      "product_price": 13.89_x000D_
    },_x000D_
    "quantity": 3_x000D_
  },_x000D_
  {_x000D_
    "product": {_x000D_
      "product_name": "Proseware Wall Lamp E0315 Blue",_x000D_
      "product_price": 101.99_x000D_
    },_x000D_
    "quantity": 2_x000D_
  },_x000D_
  {_x000D_
    "product": {_x000D_
      "product_name": "Fabrikam Coffee Maker Auto 5C E090 Black",_x000D_
      "product_price": 163_x000D_
    },_x000D_
    "quantity": 3_x000D_
  }_x000D_
]</v>
      </c>
      <c r="H19" t="str">
        <f t="shared" si="0"/>
        <v>Fabrikam Coffee Maker Auto 5C E090 Black</v>
      </c>
      <c r="I19" s="4">
        <f t="shared" si="1"/>
        <v>3</v>
      </c>
      <c r="J19" s="3">
        <f t="shared" si="2"/>
        <v>163</v>
      </c>
      <c r="K19">
        <f t="shared" si="3"/>
        <v>489</v>
      </c>
    </row>
    <row r="20" spans="1:11" x14ac:dyDescent="0.3">
      <c r="A20">
        <v>19</v>
      </c>
      <c r="B20">
        <f>_xlfn.XMATCH(A20,sales_orders[acu_items],1)</f>
        <v>9</v>
      </c>
      <c r="C20" cm="1">
        <f t="array" ref="C20">A20-IF(B20=1,0,INDEX(sales_orders[acu_items],B20-1))</f>
        <v>1</v>
      </c>
      <c r="D20" cm="1">
        <f t="array" ref="D20">INDEX(sales_orders[order_number],B20)</f>
        <v>744000</v>
      </c>
      <c r="E20" s="1" cm="1">
        <f t="array" ref="E20">INDEX(sales_orders[order_date],B20)</f>
        <v>42748</v>
      </c>
      <c r="F20" t="str" cm="1">
        <f t="array" ref="F20">INDEX(sales_orders[fulfillment],B20)</f>
        <v>In store</v>
      </c>
      <c r="G20" t="str" cm="1">
        <f t="array" ref="G20">INDEX(sales_orders[line_items],B20)</f>
        <v>[_x000D_
  {_x000D_
    "product": {_x000D_
      "product_name": "WWI Wireless Bluetooth Stereo Headphones M170 Pink",_x000D_
      "product_price": 120_x000D_
    },_x000D_
    "quantity": 6_x000D_
  },_x000D_
  {_x000D_
    "product": {_x000D_
      "product_name": "Contoso Phone with 13-Number Memory (210) M301 Grey",_x000D_
      "product_price": 16.99_x000D_
    },_x000D_
    "quantity": 3_x000D_
  },_x000D_
  {_x000D_
    "product": {_x000D_
      "product_name": "SV 8xDVD E100 Black",_x000D_
      "product_price": 69_x000D_
    },_x000D_
    "quantity": 6_x000D_
  },_x000D_
  {_x000D_
    "product": {_x000D_
      "product_name": "Litware Microwave 1.0CuFt E110 Silver",_x000D_
      "product_price": 139.99_x000D_
    },_x000D_
    "quantity": 2_x000D_
  }_x000D_
]</v>
      </c>
      <c r="H20" t="str">
        <f t="shared" si="0"/>
        <v>WWI Wireless Bluetooth Stereo Headphones M170 Pink</v>
      </c>
      <c r="I20" s="4">
        <f t="shared" si="1"/>
        <v>6</v>
      </c>
      <c r="J20" s="3">
        <f t="shared" si="2"/>
        <v>120</v>
      </c>
      <c r="K20">
        <f t="shared" si="3"/>
        <v>720</v>
      </c>
    </row>
    <row r="21" spans="1:11" x14ac:dyDescent="0.3">
      <c r="A21">
        <v>20</v>
      </c>
      <c r="B21">
        <f>_xlfn.XMATCH(A21,sales_orders[acu_items],1)</f>
        <v>9</v>
      </c>
      <c r="C21" cm="1">
        <f t="array" ref="C21">A21-IF(B21=1,0,INDEX(sales_orders[acu_items],B21-1))</f>
        <v>2</v>
      </c>
      <c r="D21" cm="1">
        <f t="array" ref="D21">INDEX(sales_orders[order_number],B21)</f>
        <v>744000</v>
      </c>
      <c r="E21" s="1" cm="1">
        <f t="array" ref="E21">INDEX(sales_orders[order_date],B21)</f>
        <v>42748</v>
      </c>
      <c r="F21" t="str" cm="1">
        <f t="array" ref="F21">INDEX(sales_orders[fulfillment],B21)</f>
        <v>In store</v>
      </c>
      <c r="G21" t="str" cm="1">
        <f t="array" ref="G21">INDEX(sales_orders[line_items],B21)</f>
        <v>[_x000D_
  {_x000D_
    "product": {_x000D_
      "product_name": "WWI Wireless Bluetooth Stereo Headphones M170 Pink",_x000D_
      "product_price": 120_x000D_
    },_x000D_
    "quantity": 6_x000D_
  },_x000D_
  {_x000D_
    "product": {_x000D_
      "product_name": "Contoso Phone with 13-Number Memory (210) M301 Grey",_x000D_
      "product_price": 16.99_x000D_
    },_x000D_
    "quantity": 3_x000D_
  },_x000D_
  {_x000D_
    "product": {_x000D_
      "product_name": "SV 8xDVD E100 Black",_x000D_
      "product_price": 69_x000D_
    },_x000D_
    "quantity": 6_x000D_
  },_x000D_
  {_x000D_
    "product": {_x000D_
      "product_name": "Litware Microwave 1.0CuFt E110 Silver",_x000D_
      "product_price": 139.99_x000D_
    },_x000D_
    "quantity": 2_x000D_
  }_x000D_
]</v>
      </c>
      <c r="H21" t="str">
        <f t="shared" si="0"/>
        <v>Contoso Phone with 13-Number Memory (210) M301 Grey</v>
      </c>
      <c r="I21" s="4">
        <f t="shared" si="1"/>
        <v>3</v>
      </c>
      <c r="J21" s="3">
        <f t="shared" si="2"/>
        <v>16.989999999999998</v>
      </c>
      <c r="K21">
        <f t="shared" si="3"/>
        <v>50.97</v>
      </c>
    </row>
    <row r="22" spans="1:11" x14ac:dyDescent="0.3">
      <c r="A22">
        <v>21</v>
      </c>
      <c r="B22">
        <f>_xlfn.XMATCH(A22,sales_orders[acu_items],1)</f>
        <v>9</v>
      </c>
      <c r="C22" cm="1">
        <f t="array" ref="C22">A22-IF(B22=1,0,INDEX(sales_orders[acu_items],B22-1))</f>
        <v>3</v>
      </c>
      <c r="D22" cm="1">
        <f t="array" ref="D22">INDEX(sales_orders[order_number],B22)</f>
        <v>744000</v>
      </c>
      <c r="E22" s="1" cm="1">
        <f t="array" ref="E22">INDEX(sales_orders[order_date],B22)</f>
        <v>42748</v>
      </c>
      <c r="F22" t="str" cm="1">
        <f t="array" ref="F22">INDEX(sales_orders[fulfillment],B22)</f>
        <v>In store</v>
      </c>
      <c r="G22" t="str" cm="1">
        <f t="array" ref="G22">INDEX(sales_orders[line_items],B22)</f>
        <v>[_x000D_
  {_x000D_
    "product": {_x000D_
      "product_name": "WWI Wireless Bluetooth Stereo Headphones M170 Pink",_x000D_
      "product_price": 120_x000D_
    },_x000D_
    "quantity": 6_x000D_
  },_x000D_
  {_x000D_
    "product": {_x000D_
      "product_name": "Contoso Phone with 13-Number Memory (210) M301 Grey",_x000D_
      "product_price": 16.99_x000D_
    },_x000D_
    "quantity": 3_x000D_
  },_x000D_
  {_x000D_
    "product": {_x000D_
      "product_name": "SV 8xDVD E100 Black",_x000D_
      "product_price": 69_x000D_
    },_x000D_
    "quantity": 6_x000D_
  },_x000D_
  {_x000D_
    "product": {_x000D_
      "product_name": "Litware Microwave 1.0CuFt E110 Silver",_x000D_
      "product_price": 139.99_x000D_
    },_x000D_
    "quantity": 2_x000D_
  }_x000D_
]</v>
      </c>
      <c r="H22" t="str">
        <f t="shared" si="0"/>
        <v>SV 8xDVD E100 Black</v>
      </c>
      <c r="I22" s="4">
        <f t="shared" si="1"/>
        <v>6</v>
      </c>
      <c r="J22" s="3">
        <f t="shared" si="2"/>
        <v>69</v>
      </c>
      <c r="K22">
        <f t="shared" si="3"/>
        <v>414</v>
      </c>
    </row>
    <row r="23" spans="1:11" x14ac:dyDescent="0.3">
      <c r="A23">
        <v>22</v>
      </c>
      <c r="B23">
        <f>_xlfn.XMATCH(A23,sales_orders[acu_items],1)</f>
        <v>9</v>
      </c>
      <c r="C23" cm="1">
        <f t="array" ref="C23">A23-IF(B23=1,0,INDEX(sales_orders[acu_items],B23-1))</f>
        <v>4</v>
      </c>
      <c r="D23" cm="1">
        <f t="array" ref="D23">INDEX(sales_orders[order_number],B23)</f>
        <v>744000</v>
      </c>
      <c r="E23" s="1" cm="1">
        <f t="array" ref="E23">INDEX(sales_orders[order_date],B23)</f>
        <v>42748</v>
      </c>
      <c r="F23" t="str" cm="1">
        <f t="array" ref="F23">INDEX(sales_orders[fulfillment],B23)</f>
        <v>In store</v>
      </c>
      <c r="G23" t="str" cm="1">
        <f t="array" ref="G23">INDEX(sales_orders[line_items],B23)</f>
        <v>[_x000D_
  {_x000D_
    "product": {_x000D_
      "product_name": "WWI Wireless Bluetooth Stereo Headphones M170 Pink",_x000D_
      "product_price": 120_x000D_
    },_x000D_
    "quantity": 6_x000D_
  },_x000D_
  {_x000D_
    "product": {_x000D_
      "product_name": "Contoso Phone with 13-Number Memory (210) M301 Grey",_x000D_
      "product_price": 16.99_x000D_
    },_x000D_
    "quantity": 3_x000D_
  },_x000D_
  {_x000D_
    "product": {_x000D_
      "product_name": "SV 8xDVD E100 Black",_x000D_
      "product_price": 69_x000D_
    },_x000D_
    "quantity": 6_x000D_
  },_x000D_
  {_x000D_
    "product": {_x000D_
      "product_name": "Litware Microwave 1.0CuFt E110 Silver",_x000D_
      "product_price": 139.99_x000D_
    },_x000D_
    "quantity": 2_x000D_
  }_x000D_
]</v>
      </c>
      <c r="H23" t="str">
        <f t="shared" si="0"/>
        <v>Litware Microwave 1.0CuFt E110 Silver</v>
      </c>
      <c r="I23" s="4">
        <f t="shared" si="1"/>
        <v>2</v>
      </c>
      <c r="J23" s="3">
        <f t="shared" si="2"/>
        <v>139.99</v>
      </c>
      <c r="K23">
        <f t="shared" si="3"/>
        <v>279.98</v>
      </c>
    </row>
    <row r="24" spans="1:11" x14ac:dyDescent="0.3">
      <c r="A24">
        <v>23</v>
      </c>
      <c r="B24">
        <f>_xlfn.XMATCH(A24,sales_orders[acu_items],1)</f>
        <v>10</v>
      </c>
      <c r="C24" cm="1">
        <f t="array" ref="C24">A24-IF(B24=1,0,INDEX(sales_orders[acu_items],B24-1))</f>
        <v>1</v>
      </c>
      <c r="D24" cm="1">
        <f t="array" ref="D24">INDEX(sales_orders[order_number],B24)</f>
        <v>755003</v>
      </c>
      <c r="E24" s="1" cm="1">
        <f t="array" ref="E24">INDEX(sales_orders[order_date],B24)</f>
        <v>42759</v>
      </c>
      <c r="F24" t="str" cm="1">
        <f t="array" ref="F24">INDEX(sales_orders[fulfillment],B24)</f>
        <v>Online</v>
      </c>
      <c r="G24" t="str" cm="1">
        <f t="array" ref="G24">INDEX(sales_orders[line_items],B24)</f>
        <v>[_x000D_
  {_x000D_
    "product": {_x000D_
      "product_name": "Proseware Laptop15.4W M518 Black",_x000D_
      "product_price": 758_x000D_
    },_x000D_
    "quantity": 2_x000D_
  },_x000D_
  {_x000D_
    "product": {_x000D_
      "product_name": "Contoso Water Heater 1.5GPM E0800 Grey",_x000D_
      "product_price": 257.5_x000D_
    },_x000D_
    "quantity": 2_x000D_
  },_x000D_
  {_x000D_
    "product": {_x000D_
      "product_name": "Contoso Expandable 2-Handset Cordless Phone System M205 Grey",_x000D_
      "product_price": 40.19_x000D_
    },_x000D_
    "quantity": 5_x000D_
  }_x000D_
]</v>
      </c>
      <c r="H24" t="str">
        <f t="shared" si="0"/>
        <v>Proseware Laptop15.4W M518 Black</v>
      </c>
      <c r="I24" s="4">
        <f t="shared" si="1"/>
        <v>2</v>
      </c>
      <c r="J24" s="3">
        <f t="shared" si="2"/>
        <v>758</v>
      </c>
      <c r="K24">
        <f t="shared" si="3"/>
        <v>1516</v>
      </c>
    </row>
    <row r="25" spans="1:11" x14ac:dyDescent="0.3">
      <c r="A25">
        <v>24</v>
      </c>
      <c r="B25">
        <f>_xlfn.XMATCH(A25,sales_orders[acu_items],1)</f>
        <v>10</v>
      </c>
      <c r="C25" cm="1">
        <f t="array" ref="C25">A25-IF(B25=1,0,INDEX(sales_orders[acu_items],B25-1))</f>
        <v>2</v>
      </c>
      <c r="D25" cm="1">
        <f t="array" ref="D25">INDEX(sales_orders[order_number],B25)</f>
        <v>755003</v>
      </c>
      <c r="E25" s="1" cm="1">
        <f t="array" ref="E25">INDEX(sales_orders[order_date],B25)</f>
        <v>42759</v>
      </c>
      <c r="F25" t="str" cm="1">
        <f t="array" ref="F25">INDEX(sales_orders[fulfillment],B25)</f>
        <v>Online</v>
      </c>
      <c r="G25" t="str" cm="1">
        <f t="array" ref="G25">INDEX(sales_orders[line_items],B25)</f>
        <v>[_x000D_
  {_x000D_
    "product": {_x000D_
      "product_name": "Proseware Laptop15.4W M518 Black",_x000D_
      "product_price": 758_x000D_
    },_x000D_
    "quantity": 2_x000D_
  },_x000D_
  {_x000D_
    "product": {_x000D_
      "product_name": "Contoso Water Heater 1.5GPM E0800 Grey",_x000D_
      "product_price": 257.5_x000D_
    },_x000D_
    "quantity": 2_x000D_
  },_x000D_
  {_x000D_
    "product": {_x000D_
      "product_name": "Contoso Expandable 2-Handset Cordless Phone System M205 Grey",_x000D_
      "product_price": 40.19_x000D_
    },_x000D_
    "quantity": 5_x000D_
  }_x000D_
]</v>
      </c>
      <c r="H25" t="str">
        <f t="shared" si="0"/>
        <v>Contoso Water Heater 1.5GPM E0800 Grey</v>
      </c>
      <c r="I25" s="4">
        <f t="shared" si="1"/>
        <v>2</v>
      </c>
      <c r="J25" s="3">
        <f t="shared" si="2"/>
        <v>257.5</v>
      </c>
      <c r="K25">
        <f t="shared" si="3"/>
        <v>515</v>
      </c>
    </row>
    <row r="26" spans="1:11" x14ac:dyDescent="0.3">
      <c r="A26">
        <v>25</v>
      </c>
      <c r="B26">
        <f>_xlfn.XMATCH(A26,sales_orders[acu_items],1)</f>
        <v>10</v>
      </c>
      <c r="C26" cm="1">
        <f t="array" ref="C26">A26-IF(B26=1,0,INDEX(sales_orders[acu_items],B26-1))</f>
        <v>3</v>
      </c>
      <c r="D26" cm="1">
        <f t="array" ref="D26">INDEX(sales_orders[order_number],B26)</f>
        <v>755003</v>
      </c>
      <c r="E26" s="1" cm="1">
        <f t="array" ref="E26">INDEX(sales_orders[order_date],B26)</f>
        <v>42759</v>
      </c>
      <c r="F26" t="str" cm="1">
        <f t="array" ref="F26">INDEX(sales_orders[fulfillment],B26)</f>
        <v>Online</v>
      </c>
      <c r="G26" t="str" cm="1">
        <f t="array" ref="G26">INDEX(sales_orders[line_items],B26)</f>
        <v>[_x000D_
  {_x000D_
    "product": {_x000D_
      "product_name": "Proseware Laptop15.4W M518 Black",_x000D_
      "product_price": 758_x000D_
    },_x000D_
    "quantity": 2_x000D_
  },_x000D_
  {_x000D_
    "product": {_x000D_
      "product_name": "Contoso Water Heater 1.5GPM E0800 Grey",_x000D_
      "product_price": 257.5_x000D_
    },_x000D_
    "quantity": 2_x000D_
  },_x000D_
  {_x000D_
    "product": {_x000D_
      "product_name": "Contoso Expandable 2-Handset Cordless Phone System M205 Grey",_x000D_
      "product_price": 40.19_x000D_
    },_x000D_
    "quantity": 5_x000D_
  }_x000D_
]</v>
      </c>
      <c r="H26" t="str">
        <f t="shared" si="0"/>
        <v>Contoso Expandable 2-Handset Cordless Phone System M205 Grey</v>
      </c>
      <c r="I26" s="4">
        <f t="shared" si="1"/>
        <v>5</v>
      </c>
      <c r="J26" s="3">
        <f t="shared" si="2"/>
        <v>40.19</v>
      </c>
      <c r="K26">
        <f t="shared" si="3"/>
        <v>200.95</v>
      </c>
    </row>
    <row r="27" spans="1:11" x14ac:dyDescent="0.3">
      <c r="A27">
        <v>26</v>
      </c>
      <c r="B27">
        <f>_xlfn.XMATCH(A27,sales_orders[acu_items],1)</f>
        <v>11</v>
      </c>
      <c r="C27" cm="1">
        <f t="array" ref="C27">A27-IF(B27=1,0,INDEX(sales_orders[acu_items],B27-1))</f>
        <v>1</v>
      </c>
      <c r="D27" cm="1">
        <f t="array" ref="D27">INDEX(sales_orders[order_number],B27)</f>
        <v>786002</v>
      </c>
      <c r="E27" s="1" cm="1">
        <f t="array" ref="E27">INDEX(sales_orders[order_date],B27)</f>
        <v>42790</v>
      </c>
      <c r="F27" t="str" cm="1">
        <f t="array" ref="F27">INDEX(sales_orders[fulfillment],B27)</f>
        <v>In store</v>
      </c>
      <c r="G27" t="str" cm="1">
        <f t="array" ref="G27">INDEX(sales_orders[line_items],B27)</f>
        <v>[_x000D_
  {_x000D_
    "product": {_x000D_
      "product_name": "WWI 2GB Spy Video Recorder Pen M300 White",_x000D_
      "product_price": 181_x000D_
    },_x000D_
    "quantity": 3_x000D_
  }_x000D_
]</v>
      </c>
      <c r="H27" t="str">
        <f t="shared" si="0"/>
        <v>WWI 2GB Spy Video Recorder Pen M300 White</v>
      </c>
      <c r="I27" s="4">
        <f t="shared" si="1"/>
        <v>3</v>
      </c>
      <c r="J27" s="3">
        <f t="shared" si="2"/>
        <v>181</v>
      </c>
      <c r="K27">
        <f t="shared" si="3"/>
        <v>543</v>
      </c>
    </row>
    <row r="28" spans="1:11" x14ac:dyDescent="0.3">
      <c r="A28">
        <v>27</v>
      </c>
      <c r="B28">
        <f>_xlfn.XMATCH(A28,sales_orders[acu_items],1)</f>
        <v>12</v>
      </c>
      <c r="C28" cm="1">
        <f t="array" ref="C28">A28-IF(B28=1,0,INDEX(sales_orders[acu_items],B28-1))</f>
        <v>1</v>
      </c>
      <c r="D28" cm="1">
        <f t="array" ref="D28">INDEX(sales_orders[order_number],B28)</f>
        <v>799005</v>
      </c>
      <c r="E28" s="1" cm="1">
        <f t="array" ref="E28">INDEX(sales_orders[order_date],B28)</f>
        <v>42803</v>
      </c>
      <c r="F28" t="str" cm="1">
        <f t="array" ref="F28">INDEX(sales_orders[fulfillment],B28)</f>
        <v>In store</v>
      </c>
      <c r="G28" t="str" cm="1">
        <f t="array" ref="G28">INDEX(sales_orders[line_items],B28)</f>
        <v>[_x000D_
  {_x000D_
    "product": {_x000D_
      "product_name": "WWI Desktop PC1.80 E1800 Black",_x000D_
      "product_price": 229.9_x000D_
    },_x000D_
    "quantity": 1_x000D_
  }_x000D_
]</v>
      </c>
      <c r="H28" t="str">
        <f t="shared" si="0"/>
        <v>WWI Desktop PC1.80 E1800 Black</v>
      </c>
      <c r="I28" s="4">
        <f t="shared" si="1"/>
        <v>1</v>
      </c>
      <c r="J28" s="3">
        <f t="shared" si="2"/>
        <v>229.9</v>
      </c>
      <c r="K28">
        <f t="shared" si="3"/>
        <v>229.9</v>
      </c>
    </row>
    <row r="29" spans="1:11" x14ac:dyDescent="0.3">
      <c r="A29">
        <v>28</v>
      </c>
      <c r="B29">
        <f>_xlfn.XMATCH(A29,sales_orders[acu_items],1)</f>
        <v>13</v>
      </c>
      <c r="C29" cm="1">
        <f t="array" ref="C29">A29-IF(B29=1,0,INDEX(sales_orders[acu_items],B29-1))</f>
        <v>1</v>
      </c>
      <c r="D29" cm="1">
        <f t="array" ref="D29">INDEX(sales_orders[order_number],B29)</f>
        <v>911003</v>
      </c>
      <c r="E29" s="1" cm="1">
        <f t="array" ref="E29">INDEX(sales_orders[order_date],B29)</f>
        <v>42915</v>
      </c>
      <c r="F29" t="str" cm="1">
        <f t="array" ref="F29">INDEX(sales_orders[fulfillment],B29)</f>
        <v>In store</v>
      </c>
      <c r="G29" t="str" cm="1">
        <f t="array" ref="G29">INDEX(sales_orders[line_items],B29)</f>
        <v>[_x000D_
  {_x000D_
    "product": {_x000D_
      "product_name": "Fabrikam Microwave 0.8CuFt E0800 Silver",_x000D_
      "product_price": 94.99_x000D_
    },_x000D_
    "quantity": 3_x000D_
  },_x000D_
  {_x000D_
    "product": {_x000D_
      "product_name": "Contoso Water Heater 2.6GPM E0900 Blue",_x000D_
      "product_price": 508_x000D_
    },_x000D_
    "quantity": 3_x000D_
  }_x000D_
]</v>
      </c>
      <c r="H29" t="str">
        <f t="shared" si="0"/>
        <v>Fabrikam Microwave 0.8CuFt E0800 Silver</v>
      </c>
      <c r="I29" s="4">
        <f t="shared" si="1"/>
        <v>3</v>
      </c>
      <c r="J29" s="3">
        <f t="shared" si="2"/>
        <v>94.99</v>
      </c>
      <c r="K29">
        <f t="shared" si="3"/>
        <v>284.96999999999997</v>
      </c>
    </row>
    <row r="30" spans="1:11" x14ac:dyDescent="0.3">
      <c r="A30">
        <v>29</v>
      </c>
      <c r="B30">
        <f>_xlfn.XMATCH(A30,sales_orders[acu_items],1)</f>
        <v>13</v>
      </c>
      <c r="C30" cm="1">
        <f t="array" ref="C30">A30-IF(B30=1,0,INDEX(sales_orders[acu_items],B30-1))</f>
        <v>2</v>
      </c>
      <c r="D30" cm="1">
        <f t="array" ref="D30">INDEX(sales_orders[order_number],B30)</f>
        <v>911003</v>
      </c>
      <c r="E30" s="1" cm="1">
        <f t="array" ref="E30">INDEX(sales_orders[order_date],B30)</f>
        <v>42915</v>
      </c>
      <c r="F30" t="str" cm="1">
        <f t="array" ref="F30">INDEX(sales_orders[fulfillment],B30)</f>
        <v>In store</v>
      </c>
      <c r="G30" t="str" cm="1">
        <f t="array" ref="G30">INDEX(sales_orders[line_items],B30)</f>
        <v>[_x000D_
  {_x000D_
    "product": {_x000D_
      "product_name": "Fabrikam Microwave 0.8CuFt E0800 Silver",_x000D_
      "product_price": 94.99_x000D_
    },_x000D_
    "quantity": 3_x000D_
  },_x000D_
  {_x000D_
    "product": {_x000D_
      "product_name": "Contoso Water Heater 2.6GPM E0900 Blue",_x000D_
      "product_price": 508_x000D_
    },_x000D_
    "quantity": 3_x000D_
  }_x000D_
]</v>
      </c>
      <c r="H30" t="str">
        <f t="shared" si="0"/>
        <v>Contoso Water Heater 2.6GPM E0900 Blue</v>
      </c>
      <c r="I30" s="4">
        <f t="shared" si="1"/>
        <v>3</v>
      </c>
      <c r="J30" s="3">
        <f t="shared" si="2"/>
        <v>508</v>
      </c>
      <c r="K30">
        <f t="shared" si="3"/>
        <v>1524</v>
      </c>
    </row>
    <row r="31" spans="1:11" x14ac:dyDescent="0.3">
      <c r="A31">
        <v>30</v>
      </c>
      <c r="B31">
        <f>_xlfn.XMATCH(A31,sales_orders[acu_items],1)</f>
        <v>14</v>
      </c>
      <c r="C31" cm="1">
        <f t="array" ref="C31">A31-IF(B31=1,0,INDEX(sales_orders[acu_items],B31-1))</f>
        <v>1</v>
      </c>
      <c r="D31" cm="1">
        <f t="array" ref="D31">INDEX(sales_orders[order_number],B31)</f>
        <v>1020007</v>
      </c>
      <c r="E31" s="1" cm="1">
        <f t="array" ref="E31">INDEX(sales_orders[order_date],B31)</f>
        <v>43024</v>
      </c>
      <c r="F31" t="str" cm="1">
        <f t="array" ref="F31">INDEX(sales_orders[fulfillment],B31)</f>
        <v>In store</v>
      </c>
      <c r="G31" t="str" cm="1">
        <f t="array" ref="G31">INDEX(sales_orders[line_items],B31)</f>
        <v>[_x000D_
  {_x000D_
    "product": {_x000D_
      "product_name": "Contoso DVD 7-Inch Player Portable E200 Silver",_x000D_
      "product_price": 109.99_x000D_
    },_x000D_
    "quantity": 3_x000D_
  },_x000D_
  {_x000D_
    "product": {_x000D_
      "product_name": "MGS Hand Games for Office worker L299 Black",_x000D_
      "product_price": 16.89_x000D_
    },_x000D_
    "quantity": 2_x000D_
  },_x000D_
  {_x000D_
    "product": {_x000D_
      "product_name": "Adventure Works Laptop15.4W M1548 Black",_x000D_
      "product_price": 758_x000D_
    },_x000D_
    "quantity": 1_x000D_
  },_x000D_
  {_x000D_
    "product": {_x000D_
      "product_name": "Contoso Water Heater 1.5GPM E0800 White",_x000D_
      "product_price": 257.5_x000D_
    },_x000D_
    "quantity": 3_x000D_
  }_x000D_
]</v>
      </c>
      <c r="H31" t="str">
        <f t="shared" si="0"/>
        <v>Contoso DVD 7-Inch Player Portable E200 Silver</v>
      </c>
      <c r="I31" s="4">
        <f t="shared" si="1"/>
        <v>3</v>
      </c>
      <c r="J31" s="3">
        <f t="shared" si="2"/>
        <v>109.99</v>
      </c>
      <c r="K31">
        <f t="shared" si="3"/>
        <v>329.96999999999997</v>
      </c>
    </row>
    <row r="32" spans="1:11" x14ac:dyDescent="0.3">
      <c r="A32">
        <v>31</v>
      </c>
      <c r="B32">
        <f>_xlfn.XMATCH(A32,sales_orders[acu_items],1)</f>
        <v>14</v>
      </c>
      <c r="C32" cm="1">
        <f t="array" ref="C32">A32-IF(B32=1,0,INDEX(sales_orders[acu_items],B32-1))</f>
        <v>2</v>
      </c>
      <c r="D32" cm="1">
        <f t="array" ref="D32">INDEX(sales_orders[order_number],B32)</f>
        <v>1020007</v>
      </c>
      <c r="E32" s="1" cm="1">
        <f t="array" ref="E32">INDEX(sales_orders[order_date],B32)</f>
        <v>43024</v>
      </c>
      <c r="F32" t="str" cm="1">
        <f t="array" ref="F32">INDEX(sales_orders[fulfillment],B32)</f>
        <v>In store</v>
      </c>
      <c r="G32" t="str" cm="1">
        <f t="array" ref="G32">INDEX(sales_orders[line_items],B32)</f>
        <v>[_x000D_
  {_x000D_
    "product": {_x000D_
      "product_name": "Contoso DVD 7-Inch Player Portable E200 Silver",_x000D_
      "product_price": 109.99_x000D_
    },_x000D_
    "quantity": 3_x000D_
  },_x000D_
  {_x000D_
    "product": {_x000D_
      "product_name": "MGS Hand Games for Office worker L299 Black",_x000D_
      "product_price": 16.89_x000D_
    },_x000D_
    "quantity": 2_x000D_
  },_x000D_
  {_x000D_
    "product": {_x000D_
      "product_name": "Adventure Works Laptop15.4W M1548 Black",_x000D_
      "product_price": 758_x000D_
    },_x000D_
    "quantity": 1_x000D_
  },_x000D_
  {_x000D_
    "product": {_x000D_
      "product_name": "Contoso Water Heater 1.5GPM E0800 White",_x000D_
      "product_price": 257.5_x000D_
    },_x000D_
    "quantity": 3_x000D_
  }_x000D_
]</v>
      </c>
      <c r="H32" t="str">
        <f t="shared" si="0"/>
        <v>MGS Hand Games for Office worker L299 Black</v>
      </c>
      <c r="I32" s="4">
        <f t="shared" si="1"/>
        <v>2</v>
      </c>
      <c r="J32" s="3">
        <f t="shared" si="2"/>
        <v>16.89</v>
      </c>
      <c r="K32">
        <f t="shared" si="3"/>
        <v>33.78</v>
      </c>
    </row>
    <row r="33" spans="1:11" x14ac:dyDescent="0.3">
      <c r="A33">
        <v>32</v>
      </c>
      <c r="B33">
        <f>_xlfn.XMATCH(A33,sales_orders[acu_items],1)</f>
        <v>14</v>
      </c>
      <c r="C33" cm="1">
        <f t="array" ref="C33">A33-IF(B33=1,0,INDEX(sales_orders[acu_items],B33-1))</f>
        <v>3</v>
      </c>
      <c r="D33" cm="1">
        <f t="array" ref="D33">INDEX(sales_orders[order_number],B33)</f>
        <v>1020007</v>
      </c>
      <c r="E33" s="1" cm="1">
        <f t="array" ref="E33">INDEX(sales_orders[order_date],B33)</f>
        <v>43024</v>
      </c>
      <c r="F33" t="str" cm="1">
        <f t="array" ref="F33">INDEX(sales_orders[fulfillment],B33)</f>
        <v>In store</v>
      </c>
      <c r="G33" t="str" cm="1">
        <f t="array" ref="G33">INDEX(sales_orders[line_items],B33)</f>
        <v>[_x000D_
  {_x000D_
    "product": {_x000D_
      "product_name": "Contoso DVD 7-Inch Player Portable E200 Silver",_x000D_
      "product_price": 109.99_x000D_
    },_x000D_
    "quantity": 3_x000D_
  },_x000D_
  {_x000D_
    "product": {_x000D_
      "product_name": "MGS Hand Games for Office worker L299 Black",_x000D_
      "product_price": 16.89_x000D_
    },_x000D_
    "quantity": 2_x000D_
  },_x000D_
  {_x000D_
    "product": {_x000D_
      "product_name": "Adventure Works Laptop15.4W M1548 Black",_x000D_
      "product_price": 758_x000D_
    },_x000D_
    "quantity": 1_x000D_
  },_x000D_
  {_x000D_
    "product": {_x000D_
      "product_name": "Contoso Water Heater 1.5GPM E0800 White",_x000D_
      "product_price": 257.5_x000D_
    },_x000D_
    "quantity": 3_x000D_
  }_x000D_
]</v>
      </c>
      <c r="H33" t="str">
        <f t="shared" si="0"/>
        <v>Adventure Works Laptop15.4W M1548 Black</v>
      </c>
      <c r="I33" s="4">
        <f t="shared" si="1"/>
        <v>1</v>
      </c>
      <c r="J33" s="3">
        <f t="shared" si="2"/>
        <v>758</v>
      </c>
      <c r="K33">
        <f t="shared" si="3"/>
        <v>758</v>
      </c>
    </row>
    <row r="34" spans="1:11" x14ac:dyDescent="0.3">
      <c r="A34">
        <v>33</v>
      </c>
      <c r="B34">
        <f>_xlfn.XMATCH(A34,sales_orders[acu_items],1)</f>
        <v>14</v>
      </c>
      <c r="C34" cm="1">
        <f t="array" ref="C34">A34-IF(B34=1,0,INDEX(sales_orders[acu_items],B34-1))</f>
        <v>4</v>
      </c>
      <c r="D34" cm="1">
        <f t="array" ref="D34">INDEX(sales_orders[order_number],B34)</f>
        <v>1020007</v>
      </c>
      <c r="E34" s="1" cm="1">
        <f t="array" ref="E34">INDEX(sales_orders[order_date],B34)</f>
        <v>43024</v>
      </c>
      <c r="F34" t="str" cm="1">
        <f t="array" ref="F34">INDEX(sales_orders[fulfillment],B34)</f>
        <v>In store</v>
      </c>
      <c r="G34" t="str" cm="1">
        <f t="array" ref="G34">INDEX(sales_orders[line_items],B34)</f>
        <v>[_x000D_
  {_x000D_
    "product": {_x000D_
      "product_name": "Contoso DVD 7-Inch Player Portable E200 Silver",_x000D_
      "product_price": 109.99_x000D_
    },_x000D_
    "quantity": 3_x000D_
  },_x000D_
  {_x000D_
    "product": {_x000D_
      "product_name": "MGS Hand Games for Office worker L299 Black",_x000D_
      "product_price": 16.89_x000D_
    },_x000D_
    "quantity": 2_x000D_
  },_x000D_
  {_x000D_
    "product": {_x000D_
      "product_name": "Adventure Works Laptop15.4W M1548 Black",_x000D_
      "product_price": 758_x000D_
    },_x000D_
    "quantity": 1_x000D_
  },_x000D_
  {_x000D_
    "product": {_x000D_
      "product_name": "Contoso Water Heater 1.5GPM E0800 White",_x000D_
      "product_price": 257.5_x000D_
    },_x000D_
    "quantity": 3_x000D_
  }_x000D_
]</v>
      </c>
      <c r="H34" t="str">
        <f t="shared" si="0"/>
        <v>Contoso Water Heater 1.5GPM E0800 White</v>
      </c>
      <c r="I34" s="4">
        <f t="shared" si="1"/>
        <v>3</v>
      </c>
      <c r="J34" s="3">
        <f t="shared" si="2"/>
        <v>257.5</v>
      </c>
      <c r="K34">
        <f t="shared" si="3"/>
        <v>772.5</v>
      </c>
    </row>
    <row r="35" spans="1:11" x14ac:dyDescent="0.3">
      <c r="A35">
        <v>34</v>
      </c>
      <c r="B35">
        <f>_xlfn.XMATCH(A35,sales_orders[acu_items],1)</f>
        <v>15</v>
      </c>
      <c r="C35" cm="1">
        <f t="array" ref="C35">A35-IF(B35=1,0,INDEX(sales_orders[acu_items],B35-1))</f>
        <v>1</v>
      </c>
      <c r="D35" cm="1">
        <f t="array" ref="D35">INDEX(sales_orders[order_number],B35)</f>
        <v>1023001</v>
      </c>
      <c r="E35" s="1" cm="1">
        <f t="array" ref="E35">INDEX(sales_orders[order_date],B35)</f>
        <v>43027</v>
      </c>
      <c r="F35" t="str" cm="1">
        <f t="array" ref="F35">INDEX(sales_orders[fulfillment],B35)</f>
        <v>Online</v>
      </c>
      <c r="G35" t="str" cm="1">
        <f t="array" ref="G35">INDEX(sales_orders[line_items],B35)</f>
        <v>[_x000D_
  {_x000D_
    "product": {_x000D_
      "product_name": "WWI 2GB Pulse Smart pen M100 Black",_x000D_
      "product_price": 199.95_x000D_
    },_x000D_
    "quantity": 5_x000D_
  },_x000D_
  {_x000D_
    "product": {_x000D_
      "product_name": "A. Datum Super-zoom Digital Camera X300 Green",_x000D_
      "product_price": 290_x000D_
    },_x000D_
    "quantity": 2_x000D_
  }_x000D_
]</v>
      </c>
      <c r="H35" t="str">
        <f t="shared" si="0"/>
        <v>WWI 2GB Pulse Smart pen M100 Black</v>
      </c>
      <c r="I35" s="4">
        <f t="shared" si="1"/>
        <v>5</v>
      </c>
      <c r="J35" s="3">
        <f t="shared" si="2"/>
        <v>199.95</v>
      </c>
      <c r="K35">
        <f t="shared" si="3"/>
        <v>999.75</v>
      </c>
    </row>
    <row r="36" spans="1:11" x14ac:dyDescent="0.3">
      <c r="A36">
        <v>35</v>
      </c>
      <c r="B36">
        <f>_xlfn.XMATCH(A36,sales_orders[acu_items],1)</f>
        <v>15</v>
      </c>
      <c r="C36" cm="1">
        <f t="array" ref="C36">A36-IF(B36=1,0,INDEX(sales_orders[acu_items],B36-1))</f>
        <v>2</v>
      </c>
      <c r="D36" cm="1">
        <f t="array" ref="D36">INDEX(sales_orders[order_number],B36)</f>
        <v>1023001</v>
      </c>
      <c r="E36" s="1" cm="1">
        <f t="array" ref="E36">INDEX(sales_orders[order_date],B36)</f>
        <v>43027</v>
      </c>
      <c r="F36" t="str" cm="1">
        <f t="array" ref="F36">INDEX(sales_orders[fulfillment],B36)</f>
        <v>Online</v>
      </c>
      <c r="G36" t="str" cm="1">
        <f t="array" ref="G36">INDEX(sales_orders[line_items],B36)</f>
        <v>[_x000D_
  {_x000D_
    "product": {_x000D_
      "product_name": "WWI 2GB Pulse Smart pen M100 Black",_x000D_
      "product_price": 199.95_x000D_
    },_x000D_
    "quantity": 5_x000D_
  },_x000D_
  {_x000D_
    "product": {_x000D_
      "product_name": "A. Datum Super-zoom Digital Camera X300 Green",_x000D_
      "product_price": 290_x000D_
    },_x000D_
    "quantity": 2_x000D_
  }_x000D_
]</v>
      </c>
      <c r="H36" t="str">
        <f t="shared" si="0"/>
        <v>A. Datum Super-zoom Digital Camera X300 Green</v>
      </c>
      <c r="I36" s="4">
        <f t="shared" si="1"/>
        <v>2</v>
      </c>
      <c r="J36" s="3">
        <f t="shared" si="2"/>
        <v>290</v>
      </c>
      <c r="K36">
        <f t="shared" si="3"/>
        <v>580</v>
      </c>
    </row>
    <row r="37" spans="1:11" x14ac:dyDescent="0.3">
      <c r="A37">
        <v>36</v>
      </c>
      <c r="B37">
        <f>_xlfn.XMATCH(A37,sales_orders[acu_items],1)</f>
        <v>16</v>
      </c>
      <c r="C37" cm="1">
        <f t="array" ref="C37">A37-IF(B37=1,0,INDEX(sales_orders[acu_items],B37-1))</f>
        <v>1</v>
      </c>
      <c r="D37" cm="1">
        <f t="array" ref="D37">INDEX(sales_orders[order_number],B37)</f>
        <v>1032012</v>
      </c>
      <c r="E37" s="1" cm="1">
        <f t="array" ref="E37">INDEX(sales_orders[order_date],B37)</f>
        <v>43036</v>
      </c>
      <c r="F37" t="str" cm="1">
        <f t="array" ref="F37">INDEX(sales_orders[fulfillment],B37)</f>
        <v>In store</v>
      </c>
      <c r="G37" t="str" cm="1">
        <f t="array" ref="G37">INDEX(sales_orders[line_items],B37)</f>
        <v>[_x000D_
  {_x000D_
    "product": {_x000D_
      "product_name": "WWI 2GB Pulse Smart pen M100 Silver",_x000D_
      "product_price": 199.95_x000D_
    },_x000D_
    "quantity": 1_x000D_
  },_x000D_
  {_x000D_
    "product": {_x000D_
      "product_name": "WWI Projector 1080p LCD86 Black",_x000D_
      "product_price": 2295_x000D_
    },_x000D_
    "quantity": 1_x000D_
  }_x000D_
]</v>
      </c>
      <c r="H37" t="str">
        <f t="shared" si="0"/>
        <v>WWI 2GB Pulse Smart pen M100 Silver</v>
      </c>
      <c r="I37" s="4">
        <f t="shared" si="1"/>
        <v>1</v>
      </c>
      <c r="J37" s="3">
        <f t="shared" si="2"/>
        <v>199.95</v>
      </c>
      <c r="K37">
        <f t="shared" si="3"/>
        <v>199.95</v>
      </c>
    </row>
    <row r="38" spans="1:11" x14ac:dyDescent="0.3">
      <c r="A38">
        <v>37</v>
      </c>
      <c r="B38">
        <f>_xlfn.XMATCH(A38,sales_orders[acu_items],1)</f>
        <v>16</v>
      </c>
      <c r="C38" cm="1">
        <f t="array" ref="C38">A38-IF(B38=1,0,INDEX(sales_orders[acu_items],B38-1))</f>
        <v>2</v>
      </c>
      <c r="D38" cm="1">
        <f t="array" ref="D38">INDEX(sales_orders[order_number],B38)</f>
        <v>1032012</v>
      </c>
      <c r="E38" s="1" cm="1">
        <f t="array" ref="E38">INDEX(sales_orders[order_date],B38)</f>
        <v>43036</v>
      </c>
      <c r="F38" t="str" cm="1">
        <f t="array" ref="F38">INDEX(sales_orders[fulfillment],B38)</f>
        <v>In store</v>
      </c>
      <c r="G38" t="str" cm="1">
        <f t="array" ref="G38">INDEX(sales_orders[line_items],B38)</f>
        <v>[_x000D_
  {_x000D_
    "product": {_x000D_
      "product_name": "WWI 2GB Pulse Smart pen M100 Silver",_x000D_
      "product_price": 199.95_x000D_
    },_x000D_
    "quantity": 1_x000D_
  },_x000D_
  {_x000D_
    "product": {_x000D_
      "product_name": "WWI Projector 1080p LCD86 Black",_x000D_
      "product_price": 2295_x000D_
    },_x000D_
    "quantity": 1_x000D_
  }_x000D_
]</v>
      </c>
      <c r="H38" t="str">
        <f t="shared" si="0"/>
        <v>WWI Projector 1080p LCD86 Black</v>
      </c>
      <c r="I38" s="4">
        <f t="shared" si="1"/>
        <v>1</v>
      </c>
      <c r="J38" s="3">
        <f t="shared" si="2"/>
        <v>2295</v>
      </c>
      <c r="K38">
        <f t="shared" si="3"/>
        <v>2295</v>
      </c>
    </row>
    <row r="39" spans="1:11" x14ac:dyDescent="0.3">
      <c r="A39">
        <v>38</v>
      </c>
      <c r="B39">
        <f>_xlfn.XMATCH(A39,sales_orders[acu_items],1)</f>
        <v>17</v>
      </c>
      <c r="C39" cm="1">
        <f t="array" ref="C39">A39-IF(B39=1,0,INDEX(sales_orders[acu_items],B39-1))</f>
        <v>1</v>
      </c>
      <c r="D39" cm="1">
        <f t="array" ref="D39">INDEX(sales_orders[order_number],B39)</f>
        <v>1039011</v>
      </c>
      <c r="E39" s="1" cm="1">
        <f t="array" ref="E39">INDEX(sales_orders[order_date],B39)</f>
        <v>43043</v>
      </c>
      <c r="F39" t="str" cm="1">
        <f t="array" ref="F39">INDEX(sales_orders[fulfillment],B39)</f>
        <v>In store</v>
      </c>
      <c r="G39" t="str" cm="1">
        <f t="array" ref="G39">INDEX(sales_orders[line_items],B39)</f>
        <v>[_x000D_
  {_x000D_
    "product": {_x000D_
      "product_name": "Contoso 16GB Mp5 Player M1600 Red",_x000D_
      "product_price": 199.9_x000D_
    },_x000D_
    "quantity": 1_x000D_
  }_x000D_
]</v>
      </c>
      <c r="H39" t="str">
        <f t="shared" si="0"/>
        <v>Contoso 16GB Mp5 Player M1600 Red</v>
      </c>
      <c r="I39" s="4">
        <f t="shared" si="1"/>
        <v>1</v>
      </c>
      <c r="J39" s="3">
        <f t="shared" si="2"/>
        <v>199.9</v>
      </c>
      <c r="K39">
        <f t="shared" si="3"/>
        <v>199.9</v>
      </c>
    </row>
    <row r="40" spans="1:11" x14ac:dyDescent="0.3">
      <c r="A40">
        <v>39</v>
      </c>
      <c r="B40">
        <f>_xlfn.XMATCH(A40,sales_orders[acu_items],1)</f>
        <v>18</v>
      </c>
      <c r="C40" cm="1">
        <f t="array" ref="C40">A40-IF(B40=1,0,INDEX(sales_orders[acu_items],B40-1))</f>
        <v>1</v>
      </c>
      <c r="D40" cm="1">
        <f t="array" ref="D40">INDEX(sales_orders[order_number],B40)</f>
        <v>1095040</v>
      </c>
      <c r="E40" s="1" cm="1">
        <f t="array" ref="E40">INDEX(sales_orders[order_date],B40)</f>
        <v>43099</v>
      </c>
      <c r="F40" t="str" cm="1">
        <f t="array" ref="F40">INDEX(sales_orders[fulfillment],B40)</f>
        <v>In store</v>
      </c>
      <c r="G40" t="str" cm="1">
        <f t="array" ref="G40">INDEX(sales_orders[line_items],B40)</f>
        <v>[_x000D_
  {_x000D_
    "product": {_x000D_
      "product_name": "Contoso ADSL Modem Splitter/Filter X 3 E300 Black",_x000D_
      "product_price": 52.9_x000D_
    },_x000D_
    "quantity": 1_x000D_
  },_x000D_
  {_x000D_
    "product": {_x000D_
      "product_name": "Proseware Color Ink Jet Fax, Copier, Phone M250 Black",_x000D_
      "product_price": 159_x000D_
    },_x000D_
    "quantity": 3_x000D_
  }_x000D_
]</v>
      </c>
      <c r="H40" t="str">
        <f t="shared" si="0"/>
        <v>Contoso ADSL Modem Splitter/Filter X 3 E300 Black</v>
      </c>
      <c r="I40" s="4">
        <f t="shared" si="1"/>
        <v>1</v>
      </c>
      <c r="J40" s="3">
        <f t="shared" si="2"/>
        <v>52.9</v>
      </c>
      <c r="K40">
        <f t="shared" si="3"/>
        <v>52.9</v>
      </c>
    </row>
    <row r="41" spans="1:11" x14ac:dyDescent="0.3">
      <c r="A41">
        <v>40</v>
      </c>
      <c r="B41">
        <f>_xlfn.XMATCH(A41,sales_orders[acu_items],1)</f>
        <v>18</v>
      </c>
      <c r="C41" cm="1">
        <f t="array" ref="C41">A41-IF(B41=1,0,INDEX(sales_orders[acu_items],B41-1))</f>
        <v>2</v>
      </c>
      <c r="D41" cm="1">
        <f t="array" ref="D41">INDEX(sales_orders[order_number],B41)</f>
        <v>1095040</v>
      </c>
      <c r="E41" s="1" cm="1">
        <f t="array" ref="E41">INDEX(sales_orders[order_date],B41)</f>
        <v>43099</v>
      </c>
      <c r="F41" t="str" cm="1">
        <f t="array" ref="F41">INDEX(sales_orders[fulfillment],B41)</f>
        <v>In store</v>
      </c>
      <c r="G41" t="str" cm="1">
        <f t="array" ref="G41">INDEX(sales_orders[line_items],B41)</f>
        <v>[_x000D_
  {_x000D_
    "product": {_x000D_
      "product_name": "Contoso ADSL Modem Splitter/Filter X 3 E300 Black",_x000D_
      "product_price": 52.9_x000D_
    },_x000D_
    "quantity": 1_x000D_
  },_x000D_
  {_x000D_
    "product": {_x000D_
      "product_name": "Proseware Color Ink Jet Fax, Copier, Phone M250 Black",_x000D_
      "product_price": 159_x000D_
    },_x000D_
    "quantity": 3_x000D_
  }_x000D_
]</v>
      </c>
      <c r="H41" t="str">
        <f t="shared" si="0"/>
        <v>Proseware Color Ink Jet Fax, Copier, Phone M250 Black</v>
      </c>
      <c r="I41" s="4">
        <f t="shared" si="1"/>
        <v>3</v>
      </c>
      <c r="J41" s="3">
        <f t="shared" si="2"/>
        <v>159</v>
      </c>
      <c r="K41">
        <f t="shared" si="3"/>
        <v>477</v>
      </c>
    </row>
    <row r="42" spans="1:11" x14ac:dyDescent="0.3">
      <c r="A42">
        <v>41</v>
      </c>
      <c r="B42">
        <f>_xlfn.XMATCH(A42,sales_orders[acu_items],1)</f>
        <v>19</v>
      </c>
      <c r="C42" cm="1">
        <f t="array" ref="C42">A42-IF(B42=1,0,INDEX(sales_orders[acu_items],B42-1))</f>
        <v>1</v>
      </c>
      <c r="D42" cm="1">
        <f t="array" ref="D42">INDEX(sales_orders[order_number],B42)</f>
        <v>1112009</v>
      </c>
      <c r="E42" s="1" cm="1">
        <f t="array" ref="E42">INDEX(sales_orders[order_date],B42)</f>
        <v>43116</v>
      </c>
      <c r="F42" t="str" cm="1">
        <f t="array" ref="F42">INDEX(sales_orders[fulfillment],B42)</f>
        <v>In store</v>
      </c>
      <c r="G42" t="str" cm="1">
        <f t="array" ref="G42">INDEX(sales_orders[line_items],B42)</f>
        <v>[_x000D_
  {_x000D_
    "product": {_x000D_
      "product_name": "SV DVD 9-Inch Player Portable M300 White",_x000D_
      "product_price": 159.99_x000D_
    },_x000D_
    "quantity": 1_x000D_
  }_x000D_
]</v>
      </c>
      <c r="H42" t="str">
        <f t="shared" si="0"/>
        <v>SV DVD 9-Inch Player Portable M300 White</v>
      </c>
      <c r="I42" s="4">
        <f t="shared" si="1"/>
        <v>1</v>
      </c>
      <c r="J42" s="3">
        <f t="shared" si="2"/>
        <v>159.99</v>
      </c>
      <c r="K42">
        <f t="shared" si="3"/>
        <v>159.99</v>
      </c>
    </row>
    <row r="43" spans="1:11" x14ac:dyDescent="0.3">
      <c r="A43">
        <v>42</v>
      </c>
      <c r="B43">
        <f>_xlfn.XMATCH(A43,sales_orders[acu_items],1)</f>
        <v>20</v>
      </c>
      <c r="C43" cm="1">
        <f t="array" ref="C43">A43-IF(B43=1,0,INDEX(sales_orders[acu_items],B43-1))</f>
        <v>1</v>
      </c>
      <c r="D43" cm="1">
        <f t="array" ref="D43">INDEX(sales_orders[order_number],B43)</f>
        <v>1121013</v>
      </c>
      <c r="E43" s="1" cm="1">
        <f t="array" ref="E43">INDEX(sales_orders[order_date],B43)</f>
        <v>43125</v>
      </c>
      <c r="F43" t="str" cm="1">
        <f t="array" ref="F43">INDEX(sales_orders[fulfillment],B43)</f>
        <v>Online</v>
      </c>
      <c r="G43" t="str" cm="1">
        <f t="array" ref="G43">INDEX(sales_orders[line_items],B43)</f>
        <v>[_x000D_
  {_x000D_
    "product": {_x000D_
      "product_name": "Contoso 16GB Mp5 Player M1600 Red",_x000D_
      "product_price": 199.9_x000D_
    },_x000D_
    "quantity": 1_x000D_
  }_x000D_
]</v>
      </c>
      <c r="H43" t="str">
        <f t="shared" si="0"/>
        <v>Contoso 16GB Mp5 Player M1600 Red</v>
      </c>
      <c r="I43" s="4">
        <f t="shared" si="1"/>
        <v>1</v>
      </c>
      <c r="J43" s="3">
        <f t="shared" si="2"/>
        <v>199.9</v>
      </c>
      <c r="K43">
        <f t="shared" si="3"/>
        <v>199.9</v>
      </c>
    </row>
    <row r="44" spans="1:11" x14ac:dyDescent="0.3">
      <c r="A44">
        <v>43</v>
      </c>
      <c r="B44">
        <f>_xlfn.XMATCH(A44,sales_orders[acu_items],1)</f>
        <v>21</v>
      </c>
      <c r="C44" cm="1">
        <f t="array" ref="C44">A44-IF(B44=1,0,INDEX(sales_orders[acu_items],B44-1))</f>
        <v>1</v>
      </c>
      <c r="D44" cm="1">
        <f t="array" ref="D44">INDEX(sales_orders[order_number],B44)</f>
        <v>1153005</v>
      </c>
      <c r="E44" s="1" cm="1">
        <f t="array" ref="E44">INDEX(sales_orders[order_date],B44)</f>
        <v>43157</v>
      </c>
      <c r="F44" t="str" cm="1">
        <f t="array" ref="F44">INDEX(sales_orders[fulfillment],B44)</f>
        <v>In store</v>
      </c>
      <c r="G44" t="str" cm="1">
        <f t="array" ref="G44">INDEX(sales_orders[line_items],B44)</f>
        <v>[_x000D_
  {_x000D_
    "product": {_x000D_
      "product_name": "Contoso Battery charger - bike E200 White",_x000D_
      "product_price": 19.9_x000D_
    },_x000D_
    "quantity": 1_x000D_
  },_x000D_
  {_x000D_
    "product": {_x000D_
      "product_name": "WWI 1GB Pulse Smart pen E50 White",_x000D_
      "product_price": 149.95_x000D_
    },_x000D_
    "quantity": 2_x000D_
  }_x000D_
]</v>
      </c>
      <c r="H44" t="str">
        <f t="shared" si="0"/>
        <v>Contoso Battery charger - bike E200 White</v>
      </c>
      <c r="I44" s="4">
        <f t="shared" si="1"/>
        <v>1</v>
      </c>
      <c r="J44" s="3">
        <f t="shared" si="2"/>
        <v>19.899999999999999</v>
      </c>
      <c r="K44">
        <f t="shared" si="3"/>
        <v>19.899999999999999</v>
      </c>
    </row>
    <row r="45" spans="1:11" x14ac:dyDescent="0.3">
      <c r="A45">
        <v>44</v>
      </c>
      <c r="B45">
        <f>_xlfn.XMATCH(A45,sales_orders[acu_items],1)</f>
        <v>21</v>
      </c>
      <c r="C45" cm="1">
        <f t="array" ref="C45">A45-IF(B45=1,0,INDEX(sales_orders[acu_items],B45-1))</f>
        <v>2</v>
      </c>
      <c r="D45" cm="1">
        <f t="array" ref="D45">INDEX(sales_orders[order_number],B45)</f>
        <v>1153005</v>
      </c>
      <c r="E45" s="1" cm="1">
        <f t="array" ref="E45">INDEX(sales_orders[order_date],B45)</f>
        <v>43157</v>
      </c>
      <c r="F45" t="str" cm="1">
        <f t="array" ref="F45">INDEX(sales_orders[fulfillment],B45)</f>
        <v>In store</v>
      </c>
      <c r="G45" t="str" cm="1">
        <f t="array" ref="G45">INDEX(sales_orders[line_items],B45)</f>
        <v>[_x000D_
  {_x000D_
    "product": {_x000D_
      "product_name": "Contoso Battery charger - bike E200 White",_x000D_
      "product_price": 19.9_x000D_
    },_x000D_
    "quantity": 1_x000D_
  },_x000D_
  {_x000D_
    "product": {_x000D_
      "product_name": "WWI 1GB Pulse Smart pen E50 White",_x000D_
      "product_price": 149.95_x000D_
    },_x000D_
    "quantity": 2_x000D_
  }_x000D_
]</v>
      </c>
      <c r="H45" t="str">
        <f t="shared" si="0"/>
        <v>WWI 1GB Pulse Smart pen E50 White</v>
      </c>
      <c r="I45" s="4">
        <f t="shared" si="1"/>
        <v>2</v>
      </c>
      <c r="J45" s="3">
        <f t="shared" si="2"/>
        <v>149.94999999999999</v>
      </c>
      <c r="K45">
        <f t="shared" si="3"/>
        <v>299.89999999999998</v>
      </c>
    </row>
    <row r="46" spans="1:11" x14ac:dyDescent="0.3">
      <c r="A46">
        <v>45</v>
      </c>
      <c r="B46">
        <f>_xlfn.XMATCH(A46,sales_orders[acu_items],1)</f>
        <v>22</v>
      </c>
      <c r="C46" cm="1">
        <f t="array" ref="C46">A46-IF(B46=1,0,INDEX(sales_orders[acu_items],B46-1))</f>
        <v>1</v>
      </c>
      <c r="D46" cm="1">
        <f t="array" ref="D46">INDEX(sales_orders[order_number],B46)</f>
        <v>1155018</v>
      </c>
      <c r="E46" s="1" cm="1">
        <f t="array" ref="E46">INDEX(sales_orders[order_date],B46)</f>
        <v>43159</v>
      </c>
      <c r="F46" t="str" cm="1">
        <f t="array" ref="F46">INDEX(sales_orders[fulfillment],B46)</f>
        <v>In store</v>
      </c>
      <c r="G46" t="str" cm="1">
        <f t="array" ref="G46">INDEX(sales_orders[line_items],B46)</f>
        <v>[_x000D_
  {_x000D_
    "product": {_x000D_
      "product_name": "NT Wireless Bluetooth Stereo Headphones M402 Green",_x000D_
      "product_price": 99.99_x000D_
    },_x000D_
    "quantity": 10_x000D_
  }_x000D_
]</v>
      </c>
      <c r="H46" t="str">
        <f t="shared" si="0"/>
        <v>NT Wireless Bluetooth Stereo Headphones M402 Green</v>
      </c>
      <c r="I46" s="4">
        <f t="shared" si="1"/>
        <v>10</v>
      </c>
      <c r="J46" s="3">
        <f t="shared" si="2"/>
        <v>99.99</v>
      </c>
      <c r="K46">
        <f t="shared" si="3"/>
        <v>999.9</v>
      </c>
    </row>
    <row r="47" spans="1:11" x14ac:dyDescent="0.3">
      <c r="A47">
        <v>46</v>
      </c>
      <c r="B47">
        <f>_xlfn.XMATCH(A47,sales_orders[acu_items],1)</f>
        <v>23</v>
      </c>
      <c r="C47" cm="1">
        <f t="array" ref="C47">A47-IF(B47=1,0,INDEX(sales_orders[acu_items],B47-1))</f>
        <v>1</v>
      </c>
      <c r="D47" cm="1">
        <f t="array" ref="D47">INDEX(sales_orders[order_number],B47)</f>
        <v>1231012</v>
      </c>
      <c r="E47" s="1" cm="1">
        <f t="array" ref="E47">INDEX(sales_orders[order_date],B47)</f>
        <v>43235</v>
      </c>
      <c r="F47" t="str" cm="1">
        <f t="array" ref="F47">INDEX(sales_orders[fulfillment],B47)</f>
        <v>In store</v>
      </c>
      <c r="G47" t="str" cm="1">
        <f t="array" ref="G47">INDEX(sales_orders[line_items],B47)</f>
        <v>[_x000D_
  {_x000D_
    "product": {_x000D_
      "product_name": "Fabrikam Social Videographer 1/2'' 3mm E300 Black",_x000D_
      "product_price": 170_x000D_
    },_x000D_
    "quantity": 2_x000D_
  }_x000D_
]</v>
      </c>
      <c r="H47" t="str">
        <f t="shared" si="0"/>
        <v>Fabrikam Social Videographer 1/2'' 3mm E300 Black</v>
      </c>
      <c r="I47" s="4">
        <f t="shared" si="1"/>
        <v>2</v>
      </c>
      <c r="J47" s="3">
        <f t="shared" si="2"/>
        <v>170</v>
      </c>
      <c r="K47">
        <f t="shared" si="3"/>
        <v>340</v>
      </c>
    </row>
    <row r="48" spans="1:11" x14ac:dyDescent="0.3">
      <c r="A48">
        <v>47</v>
      </c>
      <c r="B48">
        <f>_xlfn.XMATCH(A48,sales_orders[acu_items],1)</f>
        <v>24</v>
      </c>
      <c r="C48" cm="1">
        <f t="array" ref="C48">A48-IF(B48=1,0,INDEX(sales_orders[acu_items],B48-1))</f>
        <v>1</v>
      </c>
      <c r="D48" cm="1">
        <f t="array" ref="D48">INDEX(sales_orders[order_number],B48)</f>
        <v>1254000</v>
      </c>
      <c r="E48" s="1" cm="1">
        <f t="array" ref="E48">INDEX(sales_orders[order_date],B48)</f>
        <v>43258</v>
      </c>
      <c r="F48" t="str" cm="1">
        <f t="array" ref="F48">INDEX(sales_orders[fulfillment],B48)</f>
        <v>In store</v>
      </c>
      <c r="G48" t="str" cm="1">
        <f t="array" ref="G48">INDEX(sales_orders[line_items],B48)</f>
        <v>[_x000D_
  {_x000D_
    "product": {_x000D_
      "product_name": "Adventure Works Desktop PC1.80 ED182 White",_x000D_
      "product_price": 499.9_x000D_
    },_x000D_
    "quantity": 2_x000D_
  },_x000D_
  {_x000D_
    "product": {_x000D_
      "product_name": "WWI Desktop PC2.33 X2330 Black",_x000D_
      "product_price": 919_x000D_
    },_x000D_
    "quantity": 3_x000D_
  }_x000D_
]</v>
      </c>
      <c r="H48" t="str">
        <f t="shared" si="0"/>
        <v>Adventure Works Desktop PC1.80 ED182 White</v>
      </c>
      <c r="I48" s="4">
        <f t="shared" si="1"/>
        <v>2</v>
      </c>
      <c r="J48" s="3">
        <f t="shared" si="2"/>
        <v>499.9</v>
      </c>
      <c r="K48">
        <f t="shared" si="3"/>
        <v>999.8</v>
      </c>
    </row>
    <row r="49" spans="1:11" x14ac:dyDescent="0.3">
      <c r="A49">
        <v>48</v>
      </c>
      <c r="B49">
        <f>_xlfn.XMATCH(A49,sales_orders[acu_items],1)</f>
        <v>24</v>
      </c>
      <c r="C49" cm="1">
        <f t="array" ref="C49">A49-IF(B49=1,0,INDEX(sales_orders[acu_items],B49-1))</f>
        <v>2</v>
      </c>
      <c r="D49" cm="1">
        <f t="array" ref="D49">INDEX(sales_orders[order_number],B49)</f>
        <v>1254000</v>
      </c>
      <c r="E49" s="1" cm="1">
        <f t="array" ref="E49">INDEX(sales_orders[order_date],B49)</f>
        <v>43258</v>
      </c>
      <c r="F49" t="str" cm="1">
        <f t="array" ref="F49">INDEX(sales_orders[fulfillment],B49)</f>
        <v>In store</v>
      </c>
      <c r="G49" t="str" cm="1">
        <f t="array" ref="G49">INDEX(sales_orders[line_items],B49)</f>
        <v>[_x000D_
  {_x000D_
    "product": {_x000D_
      "product_name": "Adventure Works Desktop PC1.80 ED182 White",_x000D_
      "product_price": 499.9_x000D_
    },_x000D_
    "quantity": 2_x000D_
  },_x000D_
  {_x000D_
    "product": {_x000D_
      "product_name": "WWI Desktop PC2.33 X2330 Black",_x000D_
      "product_price": 919_x000D_
    },_x000D_
    "quantity": 3_x000D_
  }_x000D_
]</v>
      </c>
      <c r="H49" t="str">
        <f t="shared" si="0"/>
        <v>WWI Desktop PC2.33 X2330 Black</v>
      </c>
      <c r="I49" s="4">
        <f t="shared" si="1"/>
        <v>3</v>
      </c>
      <c r="J49" s="3">
        <f t="shared" si="2"/>
        <v>919</v>
      </c>
      <c r="K49">
        <f t="shared" si="3"/>
        <v>2757</v>
      </c>
    </row>
    <row r="50" spans="1:11" x14ac:dyDescent="0.3">
      <c r="A50">
        <v>49</v>
      </c>
      <c r="B50">
        <f>_xlfn.XMATCH(A50,sales_orders[acu_items],1)</f>
        <v>25</v>
      </c>
      <c r="C50" cm="1">
        <f t="array" ref="C50">A50-IF(B50=1,0,INDEX(sales_orders[acu_items],B50-1))</f>
        <v>1</v>
      </c>
      <c r="D50" cm="1">
        <f t="array" ref="D50">INDEX(sales_orders[order_number],B50)</f>
        <v>1255008</v>
      </c>
      <c r="E50" s="1" cm="1">
        <f t="array" ref="E50">INDEX(sales_orders[order_date],B50)</f>
        <v>43259</v>
      </c>
      <c r="F50" t="str" cm="1">
        <f t="array" ref="F50">INDEX(sales_orders[fulfillment],B50)</f>
        <v>In store</v>
      </c>
      <c r="G50" t="str" cm="1">
        <f t="array" ref="G50">INDEX(sales_orders[line_items],B50)</f>
        <v>[_x000D_
  {_x000D_
    "product": {_x000D_
      "product_name": "The Phone Company Touch Screen Phones 5-Wire/Built-in M500 Grey",_x000D_
      "product_price": 256_x000D_
    },_x000D_
    "quantity": 1_x000D_
  }_x000D_
]</v>
      </c>
      <c r="H50" t="str">
        <f t="shared" si="0"/>
        <v>The Phone Company Touch Screen Phones 5-Wire/Built-in M500 Grey</v>
      </c>
      <c r="I50" s="4">
        <f t="shared" si="1"/>
        <v>1</v>
      </c>
      <c r="J50" s="3">
        <f t="shared" si="2"/>
        <v>256</v>
      </c>
      <c r="K50">
        <f t="shared" si="3"/>
        <v>256</v>
      </c>
    </row>
    <row r="51" spans="1:11" x14ac:dyDescent="0.3">
      <c r="A51">
        <v>50</v>
      </c>
      <c r="B51">
        <f>_xlfn.XMATCH(A51,sales_orders[acu_items],1)</f>
        <v>26</v>
      </c>
      <c r="C51" cm="1">
        <f t="array" ref="C51">A51-IF(B51=1,0,INDEX(sales_orders[acu_items],B51-1))</f>
        <v>1</v>
      </c>
      <c r="D51" cm="1">
        <f t="array" ref="D51">INDEX(sales_orders[order_number],B51)</f>
        <v>1276005</v>
      </c>
      <c r="E51" s="1" cm="1">
        <f t="array" ref="E51">INDEX(sales_orders[order_date],B51)</f>
        <v>43280</v>
      </c>
      <c r="F51" t="str" cm="1">
        <f t="array" ref="F51">INDEX(sales_orders[fulfillment],B51)</f>
        <v>In store</v>
      </c>
      <c r="G51" t="str" cm="1">
        <f t="array" ref="G51">INDEX(sales_orders[line_items],B51)</f>
        <v>[_x000D_
  {_x000D_
    "product": {_x000D_
      "product_name": "The Phone Company PDA GPS Phone 4.7 inch L950 Silver",_x000D_
      "product_price": 368_x000D_
    },_x000D_
    "quantity": 2_x000D_
  }_x000D_
]</v>
      </c>
      <c r="H51" t="str">
        <f t="shared" si="0"/>
        <v>The Phone Company PDA GPS Phone 4.7 inch L950 Silver</v>
      </c>
      <c r="I51" s="4">
        <f t="shared" si="1"/>
        <v>2</v>
      </c>
      <c r="J51" s="3">
        <f t="shared" si="2"/>
        <v>368</v>
      </c>
      <c r="K51">
        <f t="shared" si="3"/>
        <v>736</v>
      </c>
    </row>
    <row r="52" spans="1:11" x14ac:dyDescent="0.3">
      <c r="A52">
        <v>51</v>
      </c>
      <c r="B52">
        <f>_xlfn.XMATCH(A52,sales_orders[acu_items],1)</f>
        <v>27</v>
      </c>
      <c r="C52" cm="1">
        <f t="array" ref="C52">A52-IF(B52=1,0,INDEX(sales_orders[acu_items],B52-1))</f>
        <v>1</v>
      </c>
      <c r="D52" cm="1">
        <f t="array" ref="D52">INDEX(sales_orders[order_number],B52)</f>
        <v>1319033</v>
      </c>
      <c r="E52" s="1" cm="1">
        <f t="array" ref="E52">INDEX(sales_orders[order_date],B52)</f>
        <v>43323</v>
      </c>
      <c r="F52" t="str" cm="1">
        <f t="array" ref="F52">INDEX(sales_orders[fulfillment],B52)</f>
        <v>In store</v>
      </c>
      <c r="G52" t="str" cm="1">
        <f t="array" ref="G52">INDEX(sales_orders[line_items],B52)</f>
        <v>[_x000D_
  {_x000D_
    "product": {_x000D_
      "product_name": "Fabrikam Laptop15 M5000 White",_x000D_
      "product_price": 699_x000D_
    },_x000D_
    "quantity": 1_x000D_
  }_x000D_
]</v>
      </c>
      <c r="H52" t="str">
        <f t="shared" si="0"/>
        <v>Fabrikam Laptop15 M5000 White</v>
      </c>
      <c r="I52" s="4">
        <f t="shared" si="1"/>
        <v>1</v>
      </c>
      <c r="J52" s="3">
        <f t="shared" si="2"/>
        <v>699</v>
      </c>
      <c r="K52">
        <f t="shared" si="3"/>
        <v>699</v>
      </c>
    </row>
    <row r="53" spans="1:11" x14ac:dyDescent="0.3">
      <c r="A53">
        <v>52</v>
      </c>
      <c r="B53">
        <f>_xlfn.XMATCH(A53,sales_orders[acu_items],1)</f>
        <v>28</v>
      </c>
      <c r="C53" cm="1">
        <f t="array" ref="C53">A53-IF(B53=1,0,INDEX(sales_orders[acu_items],B53-1))</f>
        <v>1</v>
      </c>
      <c r="D53" cm="1">
        <f t="array" ref="D53">INDEX(sales_orders[order_number],B53)</f>
        <v>1321003</v>
      </c>
      <c r="E53" s="1" cm="1">
        <f t="array" ref="E53">INDEX(sales_orders[order_date],B53)</f>
        <v>43325</v>
      </c>
      <c r="F53" t="str" cm="1">
        <f t="array" ref="F53">INDEX(sales_orders[fulfillment],B53)</f>
        <v>In store</v>
      </c>
      <c r="G53" t="str" cm="1">
        <f t="array" ref="G53">INDEX(sales_orders[line_items],B53)</f>
        <v>[_x000D_
  {_x000D_
    "product": {_x000D_
      "product_name": "Adventure Works Desktop PC1.80 ED182 Brown",_x000D_
      "product_price": 499.9_x000D_
    },_x000D_
    "quantity": 6_x000D_
  },_x000D_
  {_x000D_
    "product": {_x000D_
      "product_name": "Adventure Works Desktop PC2.33 XD233 Black",_x000D_
      "product_price": 969_x000D_
    },_x000D_
    "quantity": 3_x000D_
  },_x000D_
  {_x000D_
    "product": {_x000D_
      "product_name": "Adventure Works Desktop PC1.80 ED180 Silver",_x000D_
      "product_price": 369_x000D_
    },_x000D_
    "quantity": 1_x000D_
  }_x000D_
]</v>
      </c>
      <c r="H53" t="str">
        <f t="shared" si="0"/>
        <v>Adventure Works Desktop PC1.80 ED182 Brown</v>
      </c>
      <c r="I53" s="4">
        <f t="shared" si="1"/>
        <v>6</v>
      </c>
      <c r="J53" s="3">
        <f t="shared" si="2"/>
        <v>499.9</v>
      </c>
      <c r="K53">
        <f t="shared" si="3"/>
        <v>2999.3999999999996</v>
      </c>
    </row>
    <row r="54" spans="1:11" x14ac:dyDescent="0.3">
      <c r="A54">
        <v>53</v>
      </c>
      <c r="B54">
        <f>_xlfn.XMATCH(A54,sales_orders[acu_items],1)</f>
        <v>28</v>
      </c>
      <c r="C54" cm="1">
        <f t="array" ref="C54">A54-IF(B54=1,0,INDEX(sales_orders[acu_items],B54-1))</f>
        <v>2</v>
      </c>
      <c r="D54" cm="1">
        <f t="array" ref="D54">INDEX(sales_orders[order_number],B54)</f>
        <v>1321003</v>
      </c>
      <c r="E54" s="1" cm="1">
        <f t="array" ref="E54">INDEX(sales_orders[order_date],B54)</f>
        <v>43325</v>
      </c>
      <c r="F54" t="str" cm="1">
        <f t="array" ref="F54">INDEX(sales_orders[fulfillment],B54)</f>
        <v>In store</v>
      </c>
      <c r="G54" t="str" cm="1">
        <f t="array" ref="G54">INDEX(sales_orders[line_items],B54)</f>
        <v>[_x000D_
  {_x000D_
    "product": {_x000D_
      "product_name": "Adventure Works Desktop PC1.80 ED182 Brown",_x000D_
      "product_price": 499.9_x000D_
    },_x000D_
    "quantity": 6_x000D_
  },_x000D_
  {_x000D_
    "product": {_x000D_
      "product_name": "Adventure Works Desktop PC2.33 XD233 Black",_x000D_
      "product_price": 969_x000D_
    },_x000D_
    "quantity": 3_x000D_
  },_x000D_
  {_x000D_
    "product": {_x000D_
      "product_name": "Adventure Works Desktop PC1.80 ED180 Silver",_x000D_
      "product_price": 369_x000D_
    },_x000D_
    "quantity": 1_x000D_
  }_x000D_
]</v>
      </c>
      <c r="H54" t="str">
        <f t="shared" si="0"/>
        <v>Adventure Works Desktop PC2.33 XD233 Black</v>
      </c>
      <c r="I54" s="4">
        <f t="shared" si="1"/>
        <v>3</v>
      </c>
      <c r="J54" s="3">
        <f t="shared" si="2"/>
        <v>969</v>
      </c>
      <c r="K54">
        <f t="shared" si="3"/>
        <v>2907</v>
      </c>
    </row>
    <row r="55" spans="1:11" x14ac:dyDescent="0.3">
      <c r="A55">
        <v>54</v>
      </c>
      <c r="B55">
        <f>_xlfn.XMATCH(A55,sales_orders[acu_items],1)</f>
        <v>28</v>
      </c>
      <c r="C55" cm="1">
        <f t="array" ref="C55">A55-IF(B55=1,0,INDEX(sales_orders[acu_items],B55-1))</f>
        <v>3</v>
      </c>
      <c r="D55" cm="1">
        <f t="array" ref="D55">INDEX(sales_orders[order_number],B55)</f>
        <v>1321003</v>
      </c>
      <c r="E55" s="1" cm="1">
        <f t="array" ref="E55">INDEX(sales_orders[order_date],B55)</f>
        <v>43325</v>
      </c>
      <c r="F55" t="str" cm="1">
        <f t="array" ref="F55">INDEX(sales_orders[fulfillment],B55)</f>
        <v>In store</v>
      </c>
      <c r="G55" t="str" cm="1">
        <f t="array" ref="G55">INDEX(sales_orders[line_items],B55)</f>
        <v>[_x000D_
  {_x000D_
    "product": {_x000D_
      "product_name": "Adventure Works Desktop PC1.80 ED182 Brown",_x000D_
      "product_price": 499.9_x000D_
    },_x000D_
    "quantity": 6_x000D_
  },_x000D_
  {_x000D_
    "product": {_x000D_
      "product_name": "Adventure Works Desktop PC2.33 XD233 Black",_x000D_
      "product_price": 969_x000D_
    },_x000D_
    "quantity": 3_x000D_
  },_x000D_
  {_x000D_
    "product": {_x000D_
      "product_name": "Adventure Works Desktop PC1.80 ED180 Silver",_x000D_
      "product_price": 369_x000D_
    },_x000D_
    "quantity": 1_x000D_
  }_x000D_
]</v>
      </c>
      <c r="H55" t="str">
        <f t="shared" si="0"/>
        <v>Adventure Works Desktop PC1.80 ED180 Silver</v>
      </c>
      <c r="I55" s="4">
        <f t="shared" si="1"/>
        <v>1</v>
      </c>
      <c r="J55" s="3">
        <f t="shared" si="2"/>
        <v>369</v>
      </c>
      <c r="K55">
        <f t="shared" si="3"/>
        <v>369</v>
      </c>
    </row>
    <row r="56" spans="1:11" x14ac:dyDescent="0.3">
      <c r="A56">
        <v>55</v>
      </c>
      <c r="B56">
        <f>_xlfn.XMATCH(A56,sales_orders[acu_items],1)</f>
        <v>29</v>
      </c>
      <c r="C56" cm="1">
        <f t="array" ref="C56">A56-IF(B56=1,0,INDEX(sales_orders[acu_items],B56-1))</f>
        <v>1</v>
      </c>
      <c r="D56" cm="1">
        <f t="array" ref="D56">INDEX(sales_orders[order_number],B56)</f>
        <v>1330005</v>
      </c>
      <c r="E56" s="1" cm="1">
        <f t="array" ref="E56">INDEX(sales_orders[order_date],B56)</f>
        <v>43334</v>
      </c>
      <c r="F56" t="str" cm="1">
        <f t="array" ref="F56">INDEX(sales_orders[fulfillment],B56)</f>
        <v>In store</v>
      </c>
      <c r="G56" t="str" cm="1">
        <f t="array" ref="G56">INDEX(sales_orders[line_items],B56)</f>
        <v>[_x000D_
  {_x000D_
    "product": {_x000D_
      "product_name": "Contoso 3 Handset Cordless Phone System  E30 Black",_x000D_
      "product_price": 16.99_x000D_
    },_x000D_
    "quantity": 9_x000D_
  },_x000D_
  {_x000D_
    "product": {_x000D_
      "product_name": "SV DVD Player M140 Gold",_x000D_
      "product_price": 60.99_x000D_
    },_x000D_
    "quantity": 2_x000D_
  },_x000D_
  {_x000D_
    "product": {_x000D_
      "product_name": "Contoso DVD 60 DVD Storage Binder L20 Silver",_x000D_
      "product_price": 22.89_x000D_
    },_x000D_
    "quantity": 2_x000D_
  }_x000D_
]</v>
      </c>
      <c r="H56" t="str">
        <f t="shared" si="0"/>
        <v>Contoso 3 Handset Cordless Phone System  E30 Black</v>
      </c>
      <c r="I56" s="4">
        <f t="shared" si="1"/>
        <v>9</v>
      </c>
      <c r="J56" s="3">
        <f t="shared" si="2"/>
        <v>16.989999999999998</v>
      </c>
      <c r="K56">
        <f t="shared" si="3"/>
        <v>152.91</v>
      </c>
    </row>
    <row r="57" spans="1:11" x14ac:dyDescent="0.3">
      <c r="A57">
        <v>56</v>
      </c>
      <c r="B57">
        <f>_xlfn.XMATCH(A57,sales_orders[acu_items],1)</f>
        <v>29</v>
      </c>
      <c r="C57" cm="1">
        <f t="array" ref="C57">A57-IF(B57=1,0,INDEX(sales_orders[acu_items],B57-1))</f>
        <v>2</v>
      </c>
      <c r="D57" cm="1">
        <f t="array" ref="D57">INDEX(sales_orders[order_number],B57)</f>
        <v>1330005</v>
      </c>
      <c r="E57" s="1" cm="1">
        <f t="array" ref="E57">INDEX(sales_orders[order_date],B57)</f>
        <v>43334</v>
      </c>
      <c r="F57" t="str" cm="1">
        <f t="array" ref="F57">INDEX(sales_orders[fulfillment],B57)</f>
        <v>In store</v>
      </c>
      <c r="G57" t="str" cm="1">
        <f t="array" ref="G57">INDEX(sales_orders[line_items],B57)</f>
        <v>[_x000D_
  {_x000D_
    "product": {_x000D_
      "product_name": "Contoso 3 Handset Cordless Phone System  E30 Black",_x000D_
      "product_price": 16.99_x000D_
    },_x000D_
    "quantity": 9_x000D_
  },_x000D_
  {_x000D_
    "product": {_x000D_
      "product_name": "SV DVD Player M140 Gold",_x000D_
      "product_price": 60.99_x000D_
    },_x000D_
    "quantity": 2_x000D_
  },_x000D_
  {_x000D_
    "product": {_x000D_
      "product_name": "Contoso DVD 60 DVD Storage Binder L20 Silver",_x000D_
      "product_price": 22.89_x000D_
    },_x000D_
    "quantity": 2_x000D_
  }_x000D_
]</v>
      </c>
      <c r="H57" t="str">
        <f t="shared" si="0"/>
        <v>SV DVD Player M140 Gold</v>
      </c>
      <c r="I57" s="4">
        <f t="shared" si="1"/>
        <v>2</v>
      </c>
      <c r="J57" s="3">
        <f t="shared" si="2"/>
        <v>60.99</v>
      </c>
      <c r="K57">
        <f t="shared" si="3"/>
        <v>121.98</v>
      </c>
    </row>
    <row r="58" spans="1:11" x14ac:dyDescent="0.3">
      <c r="A58">
        <v>57</v>
      </c>
      <c r="B58">
        <f>_xlfn.XMATCH(A58,sales_orders[acu_items],1)</f>
        <v>29</v>
      </c>
      <c r="C58" cm="1">
        <f t="array" ref="C58">A58-IF(B58=1,0,INDEX(sales_orders[acu_items],B58-1))</f>
        <v>3</v>
      </c>
      <c r="D58" cm="1">
        <f t="array" ref="D58">INDEX(sales_orders[order_number],B58)</f>
        <v>1330005</v>
      </c>
      <c r="E58" s="1" cm="1">
        <f t="array" ref="E58">INDEX(sales_orders[order_date],B58)</f>
        <v>43334</v>
      </c>
      <c r="F58" t="str" cm="1">
        <f t="array" ref="F58">INDEX(sales_orders[fulfillment],B58)</f>
        <v>In store</v>
      </c>
      <c r="G58" t="str" cm="1">
        <f t="array" ref="G58">INDEX(sales_orders[line_items],B58)</f>
        <v>[_x000D_
  {_x000D_
    "product": {_x000D_
      "product_name": "Contoso 3 Handset Cordless Phone System  E30 Black",_x000D_
      "product_price": 16.99_x000D_
    },_x000D_
    "quantity": 9_x000D_
  },_x000D_
  {_x000D_
    "product": {_x000D_
      "product_name": "SV DVD Player M140 Gold",_x000D_
      "product_price": 60.99_x000D_
    },_x000D_
    "quantity": 2_x000D_
  },_x000D_
  {_x000D_
    "product": {_x000D_
      "product_name": "Contoso DVD 60 DVD Storage Binder L20 Silver",_x000D_
      "product_price": 22.89_x000D_
    },_x000D_
    "quantity": 2_x000D_
  }_x000D_
]</v>
      </c>
      <c r="H58" t="str">
        <f t="shared" si="0"/>
        <v>Contoso DVD 60 DVD Storage Binder L20 Silver</v>
      </c>
      <c r="I58" s="4">
        <f t="shared" si="1"/>
        <v>2</v>
      </c>
      <c r="J58" s="3">
        <f t="shared" si="2"/>
        <v>22.89</v>
      </c>
      <c r="K58">
        <f t="shared" si="3"/>
        <v>45.78</v>
      </c>
    </row>
    <row r="59" spans="1:11" x14ac:dyDescent="0.3">
      <c r="A59">
        <v>58</v>
      </c>
      <c r="B59">
        <f>_xlfn.XMATCH(A59,sales_orders[acu_items],1)</f>
        <v>30</v>
      </c>
      <c r="C59" cm="1">
        <f t="array" ref="C59">A59-IF(B59=1,0,INDEX(sales_orders[acu_items],B59-1))</f>
        <v>1</v>
      </c>
      <c r="D59" cm="1">
        <f t="array" ref="D59">INDEX(sales_orders[order_number],B59)</f>
        <v>1331016</v>
      </c>
      <c r="E59" s="1" cm="1">
        <f t="array" ref="E59">INDEX(sales_orders[order_date],B59)</f>
        <v>43335</v>
      </c>
      <c r="F59" t="str" cm="1">
        <f t="array" ref="F59">INDEX(sales_orders[fulfillment],B59)</f>
        <v>Online</v>
      </c>
      <c r="G59" t="str" cm="1">
        <f t="array" ref="G59">INDEX(sales_orders[line_items],B59)</f>
        <v>[_x000D_
  {_x000D_
    "product": {_x000D_
      "product_name": "Contoso Primary Extended Capacity Battery Pack - notebook battery X100 Grey",_x000D_
      "product_price": 33.9_x000D_
    },_x000D_
    "quantity": 2_x000D_
  }_x000D_
]</v>
      </c>
      <c r="H59" t="str">
        <f t="shared" si="0"/>
        <v>Contoso Primary Extended Capacity Battery Pack - notebook battery X100 Grey</v>
      </c>
      <c r="I59" s="4">
        <f t="shared" si="1"/>
        <v>2</v>
      </c>
      <c r="J59" s="3">
        <f t="shared" si="2"/>
        <v>33.9</v>
      </c>
      <c r="K59">
        <f t="shared" si="3"/>
        <v>67.8</v>
      </c>
    </row>
    <row r="60" spans="1:11" x14ac:dyDescent="0.3">
      <c r="A60">
        <v>59</v>
      </c>
      <c r="B60">
        <f>_xlfn.XMATCH(A60,sales_orders[acu_items],1)</f>
        <v>31</v>
      </c>
      <c r="C60" cm="1">
        <f t="array" ref="C60">A60-IF(B60=1,0,INDEX(sales_orders[acu_items],B60-1))</f>
        <v>1</v>
      </c>
      <c r="D60" cm="1">
        <f t="array" ref="D60">INDEX(sales_orders[order_number],B60)</f>
        <v>1340009</v>
      </c>
      <c r="E60" s="1" cm="1">
        <f t="array" ref="E60">INDEX(sales_orders[order_date],B60)</f>
        <v>43344</v>
      </c>
      <c r="F60" t="str" cm="1">
        <f t="array" ref="F60">INDEX(sales_orders[fulfillment],B60)</f>
        <v>In store</v>
      </c>
      <c r="G60" t="str" cm="1">
        <f t="array" ref="G60">INDEX(sales_orders[line_items],B60)</f>
        <v>[_x000D_
  {_x000D_
    "product": {_x000D_
      "product_name": "Headphone Adapter for Contoso Phone E130 White",_x000D_
      "product_price": 9.99_x000D_
    },_x000D_
    "quantity": 8_x000D_
  },_x000D_
  {_x000D_
    "product": {_x000D_
      "product_name": "The Phone Company Touch Screen Phones 26-1.4 M250 Black",_x000D_
      "product_price": 268_x000D_
    },_x000D_
    "quantity": 6_x000D_
  }_x000D_
]</v>
      </c>
      <c r="H60" t="str">
        <f t="shared" si="0"/>
        <v>Headphone Adapter for Contoso Phone E130 White</v>
      </c>
      <c r="I60" s="4">
        <f t="shared" si="1"/>
        <v>8</v>
      </c>
      <c r="J60" s="3">
        <f t="shared" si="2"/>
        <v>9.99</v>
      </c>
      <c r="K60">
        <f t="shared" si="3"/>
        <v>79.92</v>
      </c>
    </row>
    <row r="61" spans="1:11" x14ac:dyDescent="0.3">
      <c r="A61">
        <v>60</v>
      </c>
      <c r="B61">
        <f>_xlfn.XMATCH(A61,sales_orders[acu_items],1)</f>
        <v>31</v>
      </c>
      <c r="C61" cm="1">
        <f t="array" ref="C61">A61-IF(B61=1,0,INDEX(sales_orders[acu_items],B61-1))</f>
        <v>2</v>
      </c>
      <c r="D61" cm="1">
        <f t="array" ref="D61">INDEX(sales_orders[order_number],B61)</f>
        <v>1340009</v>
      </c>
      <c r="E61" s="1" cm="1">
        <f t="array" ref="E61">INDEX(sales_orders[order_date],B61)</f>
        <v>43344</v>
      </c>
      <c r="F61" t="str" cm="1">
        <f t="array" ref="F61">INDEX(sales_orders[fulfillment],B61)</f>
        <v>In store</v>
      </c>
      <c r="G61" t="str" cm="1">
        <f t="array" ref="G61">INDEX(sales_orders[line_items],B61)</f>
        <v>[_x000D_
  {_x000D_
    "product": {_x000D_
      "product_name": "Headphone Adapter for Contoso Phone E130 White",_x000D_
      "product_price": 9.99_x000D_
    },_x000D_
    "quantity": 8_x000D_
  },_x000D_
  {_x000D_
    "product": {_x000D_
      "product_name": "The Phone Company Touch Screen Phones 26-1.4 M250 Black",_x000D_
      "product_price": 268_x000D_
    },_x000D_
    "quantity": 6_x000D_
  }_x000D_
]</v>
      </c>
      <c r="H61" t="str">
        <f t="shared" si="0"/>
        <v>The Phone Company Touch Screen Phones 26-1.4 M250 Black</v>
      </c>
      <c r="I61" s="4">
        <f t="shared" si="1"/>
        <v>6</v>
      </c>
      <c r="J61" s="3">
        <f t="shared" si="2"/>
        <v>268</v>
      </c>
      <c r="K61">
        <f t="shared" si="3"/>
        <v>1608</v>
      </c>
    </row>
    <row r="62" spans="1:11" x14ac:dyDescent="0.3">
      <c r="A62">
        <v>61</v>
      </c>
      <c r="B62">
        <f>_xlfn.XMATCH(A62,sales_orders[acu_items],1)</f>
        <v>32</v>
      </c>
      <c r="C62" cm="1">
        <f t="array" ref="C62">A62-IF(B62=1,0,INDEX(sales_orders[acu_items],B62-1))</f>
        <v>1</v>
      </c>
      <c r="D62" cm="1">
        <f t="array" ref="D62">INDEX(sales_orders[order_number],B62)</f>
        <v>1357019</v>
      </c>
      <c r="E62" s="1" cm="1">
        <f t="array" ref="E62">INDEX(sales_orders[order_date],B62)</f>
        <v>43361</v>
      </c>
      <c r="F62" t="str" cm="1">
        <f t="array" ref="F62">INDEX(sales_orders[fulfillment],B62)</f>
        <v>Online</v>
      </c>
      <c r="G62" t="str" cm="1">
        <f t="array" ref="G62">INDEX(sales_orders[line_items],B62)</f>
        <v>[_x000D_
  {_x000D_
    "product": {_x000D_
      "product_name": "Contoso 4-Line Corded Cordless Telephone M203 Black",_x000D_
      "product_price": 32.99_x000D_
    },_x000D_
    "quantity": 5_x000D_
  }_x000D_
]</v>
      </c>
      <c r="H62" t="str">
        <f t="shared" si="0"/>
        <v>Contoso 4-Line Corded Cordless Telephone M203 Black</v>
      </c>
      <c r="I62" s="4">
        <f t="shared" si="1"/>
        <v>5</v>
      </c>
      <c r="J62" s="3">
        <f t="shared" si="2"/>
        <v>32.99</v>
      </c>
      <c r="K62">
        <f t="shared" si="3"/>
        <v>164.95000000000002</v>
      </c>
    </row>
    <row r="63" spans="1:11" x14ac:dyDescent="0.3">
      <c r="A63">
        <v>62</v>
      </c>
      <c r="B63">
        <f>_xlfn.XMATCH(A63,sales_orders[acu_items],1)</f>
        <v>33</v>
      </c>
      <c r="C63" cm="1">
        <f t="array" ref="C63">A63-IF(B63=1,0,INDEX(sales_orders[acu_items],B63-1))</f>
        <v>1</v>
      </c>
      <c r="D63" cm="1">
        <f t="array" ref="D63">INDEX(sales_orders[order_number],B63)</f>
        <v>1371011</v>
      </c>
      <c r="E63" s="1" cm="1">
        <f t="array" ref="E63">INDEX(sales_orders[order_date],B63)</f>
        <v>43375</v>
      </c>
      <c r="F63" t="str" cm="1">
        <f t="array" ref="F63">INDEX(sales_orders[fulfillment],B63)</f>
        <v>In store</v>
      </c>
      <c r="G63" t="str" cm="1">
        <f t="array" ref="G63">INDEX(sales_orders[line_items],B63)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3" t="str">
        <f t="shared" si="0"/>
        <v>Adventure Works Desktop PC1.80 ED182 Brown</v>
      </c>
      <c r="I63" s="4">
        <f t="shared" si="1"/>
        <v>1</v>
      </c>
      <c r="J63" s="3">
        <f t="shared" si="2"/>
        <v>499.9</v>
      </c>
      <c r="K63">
        <f t="shared" si="3"/>
        <v>499.9</v>
      </c>
    </row>
    <row r="64" spans="1:11" x14ac:dyDescent="0.3">
      <c r="A64">
        <v>63</v>
      </c>
      <c r="B64">
        <f>_xlfn.XMATCH(A64,sales_orders[acu_items],1)</f>
        <v>33</v>
      </c>
      <c r="C64" cm="1">
        <f t="array" ref="C64">A64-IF(B64=1,0,INDEX(sales_orders[acu_items],B64-1))</f>
        <v>2</v>
      </c>
      <c r="D64" cm="1">
        <f t="array" ref="D64">INDEX(sales_orders[order_number],B64)</f>
        <v>1371011</v>
      </c>
      <c r="E64" s="1" cm="1">
        <f t="array" ref="E64">INDEX(sales_orders[order_date],B64)</f>
        <v>43375</v>
      </c>
      <c r="F64" t="str" cm="1">
        <f t="array" ref="F64">INDEX(sales_orders[fulfillment],B64)</f>
        <v>In store</v>
      </c>
      <c r="G64" t="str" cm="1">
        <f t="array" ref="G64">INDEX(sales_orders[line_items],B64)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4" t="str">
        <f t="shared" si="0"/>
        <v>MGS Age of Mythology 2009 E158</v>
      </c>
      <c r="I64" s="4">
        <f t="shared" si="1"/>
        <v>1</v>
      </c>
      <c r="J64" s="3">
        <f t="shared" si="2"/>
        <v>32</v>
      </c>
      <c r="K64">
        <f t="shared" si="3"/>
        <v>32</v>
      </c>
    </row>
    <row r="65" spans="1:11" x14ac:dyDescent="0.3">
      <c r="A65">
        <v>64</v>
      </c>
      <c r="B65">
        <f>_xlfn.XMATCH(A65,sales_orders[acu_items],1)</f>
        <v>33</v>
      </c>
      <c r="C65" cm="1">
        <f t="array" ref="C65">A65-IF(B65=1,0,INDEX(sales_orders[acu_items],B65-1))</f>
        <v>3</v>
      </c>
      <c r="D65" cm="1">
        <f t="array" ref="D65">INDEX(sales_orders[order_number],B65)</f>
        <v>1371011</v>
      </c>
      <c r="E65" s="1" cm="1">
        <f t="array" ref="E65">INDEX(sales_orders[order_date],B65)</f>
        <v>43375</v>
      </c>
      <c r="F65" t="str" cm="1">
        <f t="array" ref="F65">INDEX(sales_orders[fulfillment],B65)</f>
        <v>In store</v>
      </c>
      <c r="G65" t="str" cm="1">
        <f t="array" ref="G65">INDEX(sales_orders[line_items],B65)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5" t="str">
        <f t="shared" si="0"/>
        <v>Contoso Water Heater 4.0GPM M1250 Blue</v>
      </c>
      <c r="I65" s="4">
        <f t="shared" si="1"/>
        <v>3</v>
      </c>
      <c r="J65" s="3">
        <f t="shared" si="2"/>
        <v>791</v>
      </c>
      <c r="K65">
        <f t="shared" si="3"/>
        <v>2373</v>
      </c>
    </row>
    <row r="66" spans="1:11" x14ac:dyDescent="0.3">
      <c r="A66">
        <v>65</v>
      </c>
      <c r="B66">
        <f>_xlfn.XMATCH(A66,sales_orders[acu_items],1)</f>
        <v>33</v>
      </c>
      <c r="C66" cm="1">
        <f t="array" ref="C66">A66-IF(B66=1,0,INDEX(sales_orders[acu_items],B66-1))</f>
        <v>4</v>
      </c>
      <c r="D66" cm="1">
        <f t="array" ref="D66">INDEX(sales_orders[order_number],B66)</f>
        <v>1371011</v>
      </c>
      <c r="E66" s="1" cm="1">
        <f t="array" ref="E66">INDEX(sales_orders[order_date],B66)</f>
        <v>43375</v>
      </c>
      <c r="F66" t="str" cm="1">
        <f t="array" ref="F66">INDEX(sales_orders[fulfillment],B66)</f>
        <v>In store</v>
      </c>
      <c r="G66" t="str" cm="1">
        <f t="array" ref="G66">INDEX(sales_orders[line_items],B66)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6" t="str">
        <f t="shared" si="0"/>
        <v>WWI CRT17 E106 Black</v>
      </c>
      <c r="I66" s="4">
        <f t="shared" si="1"/>
        <v>1</v>
      </c>
      <c r="J66" s="3">
        <f t="shared" si="2"/>
        <v>99</v>
      </c>
      <c r="K66">
        <f t="shared" si="3"/>
        <v>99</v>
      </c>
    </row>
    <row r="67" spans="1:11" x14ac:dyDescent="0.3">
      <c r="A67">
        <v>66</v>
      </c>
      <c r="B67">
        <f>_xlfn.XMATCH(A67,sales_orders[acu_items],1)</f>
        <v>33</v>
      </c>
      <c r="C67" cm="1">
        <f t="array" ref="C67">A67-IF(B67=1,0,INDEX(sales_orders[acu_items],B67-1))</f>
        <v>5</v>
      </c>
      <c r="D67" cm="1">
        <f t="array" ref="D67">INDEX(sales_orders[order_number],B67)</f>
        <v>1371011</v>
      </c>
      <c r="E67" s="1" cm="1">
        <f t="array" ref="E67">INDEX(sales_orders[order_date],B67)</f>
        <v>43375</v>
      </c>
      <c r="F67" t="str" cm="1">
        <f t="array" ref="F67">INDEX(sales_orders[fulfillment],B67)</f>
        <v>In store</v>
      </c>
      <c r="G67" t="str" cm="1">
        <f t="array" ref="G67">INDEX(sales_orders[line_items],B67)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7" t="str">
        <f t="shared" ref="H67:H130" si="4">_xlfn.TEXTBEFORE(_xlfn.TEXTAFTER(G67,"""product_name"": """,C67),"""")</f>
        <v>Adventure Works 52 LCD HDTV X790W Black</v>
      </c>
      <c r="I67" s="4">
        <f t="shared" ref="I67:I130" si="5">--TRIM(SUBSTITUTE(SUBSTITUTE(_xlfn.TEXTBEFORE(_xlfn.TEXTAFTER(G67,"""quantity"": ",C67),"}"),CHAR(10),""),CHAR(13),""))</f>
        <v>8</v>
      </c>
      <c r="J67" s="3">
        <f t="shared" ref="J67:J130" si="6">--TRIM(SUBSTITUTE(SUBSTITUTE(_xlfn.TEXTBEFORE(_xlfn.TEXTAFTER(G67,"""product_price"": ",C67),"}"),CHAR(10),""),CHAR(13),""))</f>
        <v>1592.2</v>
      </c>
      <c r="K67">
        <f t="shared" ref="K67:K130" si="7">+I67*J67</f>
        <v>12737.6</v>
      </c>
    </row>
    <row r="68" spans="1:11" x14ac:dyDescent="0.3">
      <c r="A68">
        <v>67</v>
      </c>
      <c r="B68">
        <f>_xlfn.XMATCH(A68,sales_orders[acu_items],1)</f>
        <v>33</v>
      </c>
      <c r="C68" cm="1">
        <f t="array" ref="C68">A68-IF(B68=1,0,INDEX(sales_orders[acu_items],B68-1))</f>
        <v>6</v>
      </c>
      <c r="D68" cm="1">
        <f t="array" ref="D68">INDEX(sales_orders[order_number],B68)</f>
        <v>1371011</v>
      </c>
      <c r="E68" s="1" cm="1">
        <f t="array" ref="E68">INDEX(sales_orders[order_date],B68)</f>
        <v>43375</v>
      </c>
      <c r="F68" t="str" cm="1">
        <f t="array" ref="F68">INDEX(sales_orders[fulfillment],B68)</f>
        <v>In store</v>
      </c>
      <c r="G68" t="str" cm="1">
        <f t="array" ref="G68">INDEX(sales_orders[line_items],B68)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8" t="str">
        <f t="shared" si="4"/>
        <v>SV Car Video LCD7 M7002 Silver</v>
      </c>
      <c r="I68" s="4">
        <f t="shared" si="5"/>
        <v>3</v>
      </c>
      <c r="J68" s="3">
        <f t="shared" si="6"/>
        <v>369</v>
      </c>
      <c r="K68">
        <f t="shared" si="7"/>
        <v>1107</v>
      </c>
    </row>
    <row r="69" spans="1:11" x14ac:dyDescent="0.3">
      <c r="A69">
        <v>68</v>
      </c>
      <c r="B69">
        <f>_xlfn.XMATCH(A69,sales_orders[acu_items],1)</f>
        <v>33</v>
      </c>
      <c r="C69" cm="1">
        <f t="array" ref="C69">A69-IF(B69=1,0,INDEX(sales_orders[acu_items],B69-1))</f>
        <v>7</v>
      </c>
      <c r="D69" cm="1">
        <f t="array" ref="D69">INDEX(sales_orders[order_number],B69)</f>
        <v>1371011</v>
      </c>
      <c r="E69" s="1" cm="1">
        <f t="array" ref="E69">INDEX(sales_orders[order_date],B69)</f>
        <v>43375</v>
      </c>
      <c r="F69" t="str" cm="1">
        <f t="array" ref="F69">INDEX(sales_orders[fulfillment],B69)</f>
        <v>In store</v>
      </c>
      <c r="G69" t="str" cm="1">
        <f t="array" ref="G69">INDEX(sales_orders[line_items],B69)</f>
        <v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v>
      </c>
      <c r="H69" t="str">
        <f t="shared" si="4"/>
        <v>SV DVD Recorder L200 Black</v>
      </c>
      <c r="I69" s="4">
        <f t="shared" si="5"/>
        <v>8</v>
      </c>
      <c r="J69" s="3">
        <f t="shared" si="6"/>
        <v>219</v>
      </c>
      <c r="K69">
        <f t="shared" si="7"/>
        <v>1752</v>
      </c>
    </row>
    <row r="70" spans="1:11" x14ac:dyDescent="0.3">
      <c r="A70">
        <v>69</v>
      </c>
      <c r="B70">
        <f>_xlfn.XMATCH(A70,sales_orders[acu_items],1)</f>
        <v>34</v>
      </c>
      <c r="C70" cm="1">
        <f t="array" ref="C70">A70-IF(B70=1,0,INDEX(sales_orders[acu_items],B70-1))</f>
        <v>1</v>
      </c>
      <c r="D70" cm="1">
        <f t="array" ref="D70">INDEX(sales_orders[order_number],B70)</f>
        <v>1374006</v>
      </c>
      <c r="E70" s="1" cm="1">
        <f t="array" ref="E70">INDEX(sales_orders[order_date],B70)</f>
        <v>43378</v>
      </c>
      <c r="F70" t="str" cm="1">
        <f t="array" ref="F70">INDEX(sales_orders[fulfillment],B70)</f>
        <v>In store</v>
      </c>
      <c r="G70" t="str" cm="1">
        <f t="array" ref="G70">INDEX(sales_orders[line_items],B70)</f>
        <v>[_x000D_
  {_x000D_
    "product": {_x000D_
      "product_name": "NT Wireless Transmitter and Bluetooth Headphones M150 Blue",_x000D_
      "product_price": 149.99_x000D_
    },_x000D_
    "quantity": 4_x000D_
  },_x000D_
  {_x000D_
    "product": {_x000D_
      "product_name": "Adventure Works Desktop PC1.80 ED180 Silver",_x000D_
      "product_price": 369_x000D_
    },_x000D_
    "quantity": 1_x000D_
  },_x000D_
  {_x000D_
    "product": {_x000D_
      "product_name": "Contoso Private Automatic Branch Exchange M65 Black",_x000D_
      "product_price": 38.99_x000D_
    },_x000D_
    "quantity": 2_x000D_
  },_x000D_
  {_x000D_
    "product": {_x000D_
      "product_name": "Adventure Works 15.6 LCD TV M130W Brown",_x000D_
      "product_price": 299.99_x000D_
    },_x000D_
    "quantity": 4_x000D_
  }_x000D_
]</v>
      </c>
      <c r="H70" t="str">
        <f t="shared" si="4"/>
        <v>NT Wireless Transmitter and Bluetooth Headphones M150 Blue</v>
      </c>
      <c r="I70" s="4">
        <f t="shared" si="5"/>
        <v>4</v>
      </c>
      <c r="J70" s="3">
        <f t="shared" si="6"/>
        <v>149.99</v>
      </c>
      <c r="K70">
        <f t="shared" si="7"/>
        <v>599.96</v>
      </c>
    </row>
    <row r="71" spans="1:11" x14ac:dyDescent="0.3">
      <c r="A71">
        <v>70</v>
      </c>
      <c r="B71">
        <f>_xlfn.XMATCH(A71,sales_orders[acu_items],1)</f>
        <v>34</v>
      </c>
      <c r="C71" cm="1">
        <f t="array" ref="C71">A71-IF(B71=1,0,INDEX(sales_orders[acu_items],B71-1))</f>
        <v>2</v>
      </c>
      <c r="D71" cm="1">
        <f t="array" ref="D71">INDEX(sales_orders[order_number],B71)</f>
        <v>1374006</v>
      </c>
      <c r="E71" s="1" cm="1">
        <f t="array" ref="E71">INDEX(sales_orders[order_date],B71)</f>
        <v>43378</v>
      </c>
      <c r="F71" t="str" cm="1">
        <f t="array" ref="F71">INDEX(sales_orders[fulfillment],B71)</f>
        <v>In store</v>
      </c>
      <c r="G71" t="str" cm="1">
        <f t="array" ref="G71">INDEX(sales_orders[line_items],B71)</f>
        <v>[_x000D_
  {_x000D_
    "product": {_x000D_
      "product_name": "NT Wireless Transmitter and Bluetooth Headphones M150 Blue",_x000D_
      "product_price": 149.99_x000D_
    },_x000D_
    "quantity": 4_x000D_
  },_x000D_
  {_x000D_
    "product": {_x000D_
      "product_name": "Adventure Works Desktop PC1.80 ED180 Silver",_x000D_
      "product_price": 369_x000D_
    },_x000D_
    "quantity": 1_x000D_
  },_x000D_
  {_x000D_
    "product": {_x000D_
      "product_name": "Contoso Private Automatic Branch Exchange M65 Black",_x000D_
      "product_price": 38.99_x000D_
    },_x000D_
    "quantity": 2_x000D_
  },_x000D_
  {_x000D_
    "product": {_x000D_
      "product_name": "Adventure Works 15.6 LCD TV M130W Brown",_x000D_
      "product_price": 299.99_x000D_
    },_x000D_
    "quantity": 4_x000D_
  }_x000D_
]</v>
      </c>
      <c r="H71" t="str">
        <f t="shared" si="4"/>
        <v>Adventure Works Desktop PC1.80 ED180 Silver</v>
      </c>
      <c r="I71" s="4">
        <f t="shared" si="5"/>
        <v>1</v>
      </c>
      <c r="J71" s="3">
        <f t="shared" si="6"/>
        <v>369</v>
      </c>
      <c r="K71">
        <f t="shared" si="7"/>
        <v>369</v>
      </c>
    </row>
    <row r="72" spans="1:11" x14ac:dyDescent="0.3">
      <c r="A72">
        <v>71</v>
      </c>
      <c r="B72">
        <f>_xlfn.XMATCH(A72,sales_orders[acu_items],1)</f>
        <v>34</v>
      </c>
      <c r="C72" cm="1">
        <f t="array" ref="C72">A72-IF(B72=1,0,INDEX(sales_orders[acu_items],B72-1))</f>
        <v>3</v>
      </c>
      <c r="D72" cm="1">
        <f t="array" ref="D72">INDEX(sales_orders[order_number],B72)</f>
        <v>1374006</v>
      </c>
      <c r="E72" s="1" cm="1">
        <f t="array" ref="E72">INDEX(sales_orders[order_date],B72)</f>
        <v>43378</v>
      </c>
      <c r="F72" t="str" cm="1">
        <f t="array" ref="F72">INDEX(sales_orders[fulfillment],B72)</f>
        <v>In store</v>
      </c>
      <c r="G72" t="str" cm="1">
        <f t="array" ref="G72">INDEX(sales_orders[line_items],B72)</f>
        <v>[_x000D_
  {_x000D_
    "product": {_x000D_
      "product_name": "NT Wireless Transmitter and Bluetooth Headphones M150 Blue",_x000D_
      "product_price": 149.99_x000D_
    },_x000D_
    "quantity": 4_x000D_
  },_x000D_
  {_x000D_
    "product": {_x000D_
      "product_name": "Adventure Works Desktop PC1.80 ED180 Silver",_x000D_
      "product_price": 369_x000D_
    },_x000D_
    "quantity": 1_x000D_
  },_x000D_
  {_x000D_
    "product": {_x000D_
      "product_name": "Contoso Private Automatic Branch Exchange M65 Black",_x000D_
      "product_price": 38.99_x000D_
    },_x000D_
    "quantity": 2_x000D_
  },_x000D_
  {_x000D_
    "product": {_x000D_
      "product_name": "Adventure Works 15.6 LCD TV M130W Brown",_x000D_
      "product_price": 299.99_x000D_
    },_x000D_
    "quantity": 4_x000D_
  }_x000D_
]</v>
      </c>
      <c r="H72" t="str">
        <f t="shared" si="4"/>
        <v>Contoso Private Automatic Branch Exchange M65 Black</v>
      </c>
      <c r="I72" s="4">
        <f t="shared" si="5"/>
        <v>2</v>
      </c>
      <c r="J72" s="3">
        <f t="shared" si="6"/>
        <v>38.99</v>
      </c>
      <c r="K72">
        <f t="shared" si="7"/>
        <v>77.98</v>
      </c>
    </row>
    <row r="73" spans="1:11" x14ac:dyDescent="0.3">
      <c r="A73">
        <v>72</v>
      </c>
      <c r="B73">
        <f>_xlfn.XMATCH(A73,sales_orders[acu_items],1)</f>
        <v>34</v>
      </c>
      <c r="C73" cm="1">
        <f t="array" ref="C73">A73-IF(B73=1,0,INDEX(sales_orders[acu_items],B73-1))</f>
        <v>4</v>
      </c>
      <c r="D73" cm="1">
        <f t="array" ref="D73">INDEX(sales_orders[order_number],B73)</f>
        <v>1374006</v>
      </c>
      <c r="E73" s="1" cm="1">
        <f t="array" ref="E73">INDEX(sales_orders[order_date],B73)</f>
        <v>43378</v>
      </c>
      <c r="F73" t="str" cm="1">
        <f t="array" ref="F73">INDEX(sales_orders[fulfillment],B73)</f>
        <v>In store</v>
      </c>
      <c r="G73" t="str" cm="1">
        <f t="array" ref="G73">INDEX(sales_orders[line_items],B73)</f>
        <v>[_x000D_
  {_x000D_
    "product": {_x000D_
      "product_name": "NT Wireless Transmitter and Bluetooth Headphones M150 Blue",_x000D_
      "product_price": 149.99_x000D_
    },_x000D_
    "quantity": 4_x000D_
  },_x000D_
  {_x000D_
    "product": {_x000D_
      "product_name": "Adventure Works Desktop PC1.80 ED180 Silver",_x000D_
      "product_price": 369_x000D_
    },_x000D_
    "quantity": 1_x000D_
  },_x000D_
  {_x000D_
    "product": {_x000D_
      "product_name": "Contoso Private Automatic Branch Exchange M65 Black",_x000D_
      "product_price": 38.99_x000D_
    },_x000D_
    "quantity": 2_x000D_
  },_x000D_
  {_x000D_
    "product": {_x000D_
      "product_name": "Adventure Works 15.6 LCD TV M130W Brown",_x000D_
      "product_price": 299.99_x000D_
    },_x000D_
    "quantity": 4_x000D_
  }_x000D_
]</v>
      </c>
      <c r="H73" t="str">
        <f t="shared" si="4"/>
        <v>Adventure Works 15.6 LCD TV M130W Brown</v>
      </c>
      <c r="I73" s="4">
        <f t="shared" si="5"/>
        <v>4</v>
      </c>
      <c r="J73" s="3">
        <f t="shared" si="6"/>
        <v>299.99</v>
      </c>
      <c r="K73">
        <f t="shared" si="7"/>
        <v>1199.96</v>
      </c>
    </row>
    <row r="74" spans="1:11" x14ac:dyDescent="0.3">
      <c r="A74">
        <v>73</v>
      </c>
      <c r="B74">
        <f>_xlfn.XMATCH(A74,sales_orders[acu_items],1)</f>
        <v>35</v>
      </c>
      <c r="C74" cm="1">
        <f t="array" ref="C74">A74-IF(B74=1,0,INDEX(sales_orders[acu_items],B74-1))</f>
        <v>1</v>
      </c>
      <c r="D74" cm="1">
        <f t="array" ref="D74">INDEX(sales_orders[order_number],B74)</f>
        <v>1388011</v>
      </c>
      <c r="E74" s="1" cm="1">
        <f t="array" ref="E74">INDEX(sales_orders[order_date],B74)</f>
        <v>43392</v>
      </c>
      <c r="F74" t="str" cm="1">
        <f t="array" ref="F74">INDEX(sales_orders[fulfillment],B74)</f>
        <v>Online</v>
      </c>
      <c r="G74" t="str" cm="1">
        <f t="array" ref="G74">INDEX(sales_orders[line_items],B74)</f>
        <v>[_x000D_
  {_x000D_
    "product": {_x000D_
      "product_name": "The Phone Company PDA Wifi 3.5-inch M200 Silver",_x000D_
      "product_price": 280_x000D_
    },_x000D_
    "quantity": 10_x000D_
  },_x000D_
  {_x000D_
    "product": {_x000D_
      "product_name": "NT Wireless Bluetooth Stereo Headphones M402 Purple",_x000D_
      "product_price": 99.99_x000D_
    },_x000D_
    "quantity": 2_x000D_
  }_x000D_
]</v>
      </c>
      <c r="H74" t="str">
        <f t="shared" si="4"/>
        <v>The Phone Company PDA Wifi 3.5-inch M200 Silver</v>
      </c>
      <c r="I74" s="4">
        <f t="shared" si="5"/>
        <v>10</v>
      </c>
      <c r="J74" s="3">
        <f t="shared" si="6"/>
        <v>280</v>
      </c>
      <c r="K74">
        <f t="shared" si="7"/>
        <v>2800</v>
      </c>
    </row>
    <row r="75" spans="1:11" x14ac:dyDescent="0.3">
      <c r="A75">
        <v>74</v>
      </c>
      <c r="B75">
        <f>_xlfn.XMATCH(A75,sales_orders[acu_items],1)</f>
        <v>35</v>
      </c>
      <c r="C75" cm="1">
        <f t="array" ref="C75">A75-IF(B75=1,0,INDEX(sales_orders[acu_items],B75-1))</f>
        <v>2</v>
      </c>
      <c r="D75" cm="1">
        <f t="array" ref="D75">INDEX(sales_orders[order_number],B75)</f>
        <v>1388011</v>
      </c>
      <c r="E75" s="1" cm="1">
        <f t="array" ref="E75">INDEX(sales_orders[order_date],B75)</f>
        <v>43392</v>
      </c>
      <c r="F75" t="str" cm="1">
        <f t="array" ref="F75">INDEX(sales_orders[fulfillment],B75)</f>
        <v>Online</v>
      </c>
      <c r="G75" t="str" cm="1">
        <f t="array" ref="G75">INDEX(sales_orders[line_items],B75)</f>
        <v>[_x000D_
  {_x000D_
    "product": {_x000D_
      "product_name": "The Phone Company PDA Wifi 3.5-inch M200 Silver",_x000D_
      "product_price": 280_x000D_
    },_x000D_
    "quantity": 10_x000D_
  },_x000D_
  {_x000D_
    "product": {_x000D_
      "product_name": "NT Wireless Bluetooth Stereo Headphones M402 Purple",_x000D_
      "product_price": 99.99_x000D_
    },_x000D_
    "quantity": 2_x000D_
  }_x000D_
]</v>
      </c>
      <c r="H75" t="str">
        <f t="shared" si="4"/>
        <v>NT Wireless Bluetooth Stereo Headphones M402 Purple</v>
      </c>
      <c r="I75" s="4">
        <f t="shared" si="5"/>
        <v>2</v>
      </c>
      <c r="J75" s="3">
        <f t="shared" si="6"/>
        <v>99.99</v>
      </c>
      <c r="K75">
        <f t="shared" si="7"/>
        <v>199.98</v>
      </c>
    </row>
    <row r="76" spans="1:11" x14ac:dyDescent="0.3">
      <c r="A76">
        <v>75</v>
      </c>
      <c r="B76">
        <f>_xlfn.XMATCH(A76,sales_orders[acu_items],1)</f>
        <v>36</v>
      </c>
      <c r="C76" cm="1">
        <f t="array" ref="C76">A76-IF(B76=1,0,INDEX(sales_orders[acu_items],B76-1))</f>
        <v>1</v>
      </c>
      <c r="D76" cm="1">
        <f t="array" ref="D76">INDEX(sales_orders[order_number],B76)</f>
        <v>1393022</v>
      </c>
      <c r="E76" s="1" cm="1">
        <f t="array" ref="E76">INDEX(sales_orders[order_date],B76)</f>
        <v>43397</v>
      </c>
      <c r="F76" t="str" cm="1">
        <f t="array" ref="F76">INDEX(sales_orders[fulfillment],B76)</f>
        <v>In store</v>
      </c>
      <c r="G76" t="str" cm="1">
        <f t="array" ref="G76">INDEX(sales_orders[line_items],B76)</f>
        <v>[_x000D_
  {_x000D_
    "product": {_x000D_
      "product_name": "WWI Desktop PC2.33 X2330 White",_x000D_
      "product_price": 919_x000D_
    },_x000D_
    "quantity": 3_x000D_
  }_x000D_
]</v>
      </c>
      <c r="H76" t="str">
        <f t="shared" si="4"/>
        <v>WWI Desktop PC2.33 X2330 White</v>
      </c>
      <c r="I76" s="4">
        <f t="shared" si="5"/>
        <v>3</v>
      </c>
      <c r="J76" s="3">
        <f t="shared" si="6"/>
        <v>919</v>
      </c>
      <c r="K76">
        <f t="shared" si="7"/>
        <v>2757</v>
      </c>
    </row>
    <row r="77" spans="1:11" x14ac:dyDescent="0.3">
      <c r="A77">
        <v>76</v>
      </c>
      <c r="B77">
        <f>_xlfn.XMATCH(A77,sales_orders[acu_items],1)</f>
        <v>37</v>
      </c>
      <c r="C77" cm="1">
        <f t="array" ref="C77">A77-IF(B77=1,0,INDEX(sales_orders[acu_items],B77-1))</f>
        <v>1</v>
      </c>
      <c r="D77" cm="1">
        <f t="array" ref="D77">INDEX(sales_orders[order_number],B77)</f>
        <v>1394029</v>
      </c>
      <c r="E77" s="1" cm="1">
        <f t="array" ref="E77">INDEX(sales_orders[order_date],B77)</f>
        <v>43398</v>
      </c>
      <c r="F77" t="str" cm="1">
        <f t="array" ref="F77">INDEX(sales_orders[fulfillment],B77)</f>
        <v>Online</v>
      </c>
      <c r="G77" t="str" cm="1">
        <f t="array" ref="G77">INDEX(sales_orders[line_items],B77)</f>
        <v>[_x000D_
  {_x000D_
    "product": {_x000D_
      "product_name": "SV DVD External DVD Burner M200 Black",_x000D_
      "product_price": 57.88_x000D_
    },_x000D_
    "quantity": 6_x000D_
  },_x000D_
  {_x000D_
    "product": {_x000D_
      "product_name": "Fabrikam Refrigerator 1.7CuFt E1200 Green",_x000D_
      "product_price": 129.99_x000D_
    },_x000D_
    "quantity": 3_x000D_
  }_x000D_
]</v>
      </c>
      <c r="H77" t="str">
        <f t="shared" si="4"/>
        <v>SV DVD External DVD Burner M200 Black</v>
      </c>
      <c r="I77" s="4">
        <f t="shared" si="5"/>
        <v>6</v>
      </c>
      <c r="J77" s="3">
        <f t="shared" si="6"/>
        <v>57.88</v>
      </c>
      <c r="K77">
        <f t="shared" si="7"/>
        <v>347.28000000000003</v>
      </c>
    </row>
    <row r="78" spans="1:11" x14ac:dyDescent="0.3">
      <c r="A78">
        <v>77</v>
      </c>
      <c r="B78">
        <f>_xlfn.XMATCH(A78,sales_orders[acu_items],1)</f>
        <v>37</v>
      </c>
      <c r="C78" cm="1">
        <f t="array" ref="C78">A78-IF(B78=1,0,INDEX(sales_orders[acu_items],B78-1))</f>
        <v>2</v>
      </c>
      <c r="D78" cm="1">
        <f t="array" ref="D78">INDEX(sales_orders[order_number],B78)</f>
        <v>1394029</v>
      </c>
      <c r="E78" s="1" cm="1">
        <f t="array" ref="E78">INDEX(sales_orders[order_date],B78)</f>
        <v>43398</v>
      </c>
      <c r="F78" t="str" cm="1">
        <f t="array" ref="F78">INDEX(sales_orders[fulfillment],B78)</f>
        <v>Online</v>
      </c>
      <c r="G78" t="str" cm="1">
        <f t="array" ref="G78">INDEX(sales_orders[line_items],B78)</f>
        <v>[_x000D_
  {_x000D_
    "product": {_x000D_
      "product_name": "SV DVD External DVD Burner M200 Black",_x000D_
      "product_price": 57.88_x000D_
    },_x000D_
    "quantity": 6_x000D_
  },_x000D_
  {_x000D_
    "product": {_x000D_
      "product_name": "Fabrikam Refrigerator 1.7CuFt E1200 Green",_x000D_
      "product_price": 129.99_x000D_
    },_x000D_
    "quantity": 3_x000D_
  }_x000D_
]</v>
      </c>
      <c r="H78" t="str">
        <f t="shared" si="4"/>
        <v>Fabrikam Refrigerator 1.7CuFt E1200 Green</v>
      </c>
      <c r="I78" s="4">
        <f t="shared" si="5"/>
        <v>3</v>
      </c>
      <c r="J78" s="3">
        <f t="shared" si="6"/>
        <v>129.99</v>
      </c>
      <c r="K78">
        <f t="shared" si="7"/>
        <v>389.97</v>
      </c>
    </row>
    <row r="79" spans="1:11" x14ac:dyDescent="0.3">
      <c r="A79">
        <v>78</v>
      </c>
      <c r="B79">
        <f>_xlfn.XMATCH(A79,sales_orders[acu_items],1)</f>
        <v>38</v>
      </c>
      <c r="C79" cm="1">
        <f t="array" ref="C79">A79-IF(B79=1,0,INDEX(sales_orders[acu_items],B79-1))</f>
        <v>1</v>
      </c>
      <c r="D79" cm="1">
        <f t="array" ref="D79">INDEX(sales_orders[order_number],B79)</f>
        <v>1410029</v>
      </c>
      <c r="E79" s="1" cm="1">
        <f t="array" ref="E79">INDEX(sales_orders[order_date],B79)</f>
        <v>43414</v>
      </c>
      <c r="F79" t="str" cm="1">
        <f t="array" ref="F79">INDEX(sales_orders[fulfillment],B79)</f>
        <v>In store</v>
      </c>
      <c r="G79" t="str" cm="1">
        <f t="array" ref="G79">INDEX(sales_orders[line_items],B79)</f>
        <v>[_x000D_
  {_x000D_
    "product": {_x000D_
      "product_name": "WWI Projector 1080p DLP86 Silver",_x000D_
      "product_price": 2499_x000D_
    },_x000D_
    "quantity": 1_x000D_
  }_x000D_
]</v>
      </c>
      <c r="H79" t="str">
        <f t="shared" si="4"/>
        <v>WWI Projector 1080p DLP86 Silver</v>
      </c>
      <c r="I79" s="4">
        <f t="shared" si="5"/>
        <v>1</v>
      </c>
      <c r="J79" s="3">
        <f t="shared" si="6"/>
        <v>2499</v>
      </c>
      <c r="K79">
        <f t="shared" si="7"/>
        <v>2499</v>
      </c>
    </row>
    <row r="80" spans="1:11" x14ac:dyDescent="0.3">
      <c r="A80">
        <v>79</v>
      </c>
      <c r="B80">
        <f>_xlfn.XMATCH(A80,sales_orders[acu_items],1)</f>
        <v>39</v>
      </c>
      <c r="C80" cm="1">
        <f t="array" ref="C80">A80-IF(B80=1,0,INDEX(sales_orders[acu_items],B80-1))</f>
        <v>1</v>
      </c>
      <c r="D80" cm="1">
        <f t="array" ref="D80">INDEX(sales_orders[order_number],B80)</f>
        <v>1428004</v>
      </c>
      <c r="E80" s="1" cm="1">
        <f t="array" ref="E80">INDEX(sales_orders[order_date],B80)</f>
        <v>43432</v>
      </c>
      <c r="F80" t="str" cm="1">
        <f t="array" ref="F80">INDEX(sales_orders[fulfillment],B80)</f>
        <v>In store</v>
      </c>
      <c r="G80" t="str" cm="1">
        <f t="array" ref="G80">INDEX(sales_orders[line_items],B80)</f>
        <v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v>
      </c>
      <c r="H80" t="str">
        <f t="shared" si="4"/>
        <v>SV DVD 55DVD Storage Binder M56 Black</v>
      </c>
      <c r="I80" s="4">
        <f t="shared" si="5"/>
        <v>1</v>
      </c>
      <c r="J80" s="3">
        <f t="shared" si="6"/>
        <v>12.66</v>
      </c>
      <c r="K80">
        <f t="shared" si="7"/>
        <v>12.66</v>
      </c>
    </row>
    <row r="81" spans="1:11" x14ac:dyDescent="0.3">
      <c r="A81">
        <v>80</v>
      </c>
      <c r="B81">
        <f>_xlfn.XMATCH(A81,sales_orders[acu_items],1)</f>
        <v>39</v>
      </c>
      <c r="C81" cm="1">
        <f t="array" ref="C81">A81-IF(B81=1,0,INDEX(sales_orders[acu_items],B81-1))</f>
        <v>2</v>
      </c>
      <c r="D81" cm="1">
        <f t="array" ref="D81">INDEX(sales_orders[order_number],B81)</f>
        <v>1428004</v>
      </c>
      <c r="E81" s="1" cm="1">
        <f t="array" ref="E81">INDEX(sales_orders[order_date],B81)</f>
        <v>43432</v>
      </c>
      <c r="F81" t="str" cm="1">
        <f t="array" ref="F81">INDEX(sales_orders[fulfillment],B81)</f>
        <v>In store</v>
      </c>
      <c r="G81" t="str" cm="1">
        <f t="array" ref="G81">INDEX(sales_orders[line_items],B81)</f>
        <v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v>
      </c>
      <c r="H81" t="str">
        <f t="shared" si="4"/>
        <v>SV DVD 12-Inch Player Portable M400 White</v>
      </c>
      <c r="I81" s="4">
        <f t="shared" si="5"/>
        <v>7</v>
      </c>
      <c r="J81" s="3">
        <f t="shared" si="6"/>
        <v>179.99</v>
      </c>
      <c r="K81">
        <f t="shared" si="7"/>
        <v>1259.93</v>
      </c>
    </row>
    <row r="82" spans="1:11" x14ac:dyDescent="0.3">
      <c r="A82">
        <v>81</v>
      </c>
      <c r="B82">
        <f>_xlfn.XMATCH(A82,sales_orders[acu_items],1)</f>
        <v>39</v>
      </c>
      <c r="C82" cm="1">
        <f t="array" ref="C82">A82-IF(B82=1,0,INDEX(sales_orders[acu_items],B82-1))</f>
        <v>3</v>
      </c>
      <c r="D82" cm="1">
        <f t="array" ref="D82">INDEX(sales_orders[order_number],B82)</f>
        <v>1428004</v>
      </c>
      <c r="E82" s="1" cm="1">
        <f t="array" ref="E82">INDEX(sales_orders[order_date],B82)</f>
        <v>43432</v>
      </c>
      <c r="F82" t="str" cm="1">
        <f t="array" ref="F82">INDEX(sales_orders[fulfillment],B82)</f>
        <v>In store</v>
      </c>
      <c r="G82" t="str" cm="1">
        <f t="array" ref="G82">INDEX(sales_orders[line_items],B82)</f>
        <v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v>
      </c>
      <c r="H82" t="str">
        <f t="shared" si="4"/>
        <v>Contoso General Carrying Case E304 Blue</v>
      </c>
      <c r="I82" s="4">
        <f t="shared" si="5"/>
        <v>1</v>
      </c>
      <c r="J82" s="3">
        <f t="shared" si="6"/>
        <v>19.989999999999998</v>
      </c>
      <c r="K82">
        <f t="shared" si="7"/>
        <v>19.989999999999998</v>
      </c>
    </row>
    <row r="83" spans="1:11" x14ac:dyDescent="0.3">
      <c r="A83">
        <v>82</v>
      </c>
      <c r="B83">
        <f>_xlfn.XMATCH(A83,sales_orders[acu_items],1)</f>
        <v>39</v>
      </c>
      <c r="C83" cm="1">
        <f t="array" ref="C83">A83-IF(B83=1,0,INDEX(sales_orders[acu_items],B83-1))</f>
        <v>4</v>
      </c>
      <c r="D83" cm="1">
        <f t="array" ref="D83">INDEX(sales_orders[order_number],B83)</f>
        <v>1428004</v>
      </c>
      <c r="E83" s="1" cm="1">
        <f t="array" ref="E83">INDEX(sales_orders[order_date],B83)</f>
        <v>43432</v>
      </c>
      <c r="F83" t="str" cm="1">
        <f t="array" ref="F83">INDEX(sales_orders[fulfillment],B83)</f>
        <v>In store</v>
      </c>
      <c r="G83" t="str" cm="1">
        <f t="array" ref="G83">INDEX(sales_orders[line_items],B83)</f>
        <v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v>
      </c>
      <c r="H83" t="str">
        <f t="shared" si="4"/>
        <v>Contoso Car power adapter M90 White</v>
      </c>
      <c r="I83" s="4">
        <f t="shared" si="5"/>
        <v>1</v>
      </c>
      <c r="J83" s="3">
        <f t="shared" si="6"/>
        <v>19.95</v>
      </c>
      <c r="K83">
        <f t="shared" si="7"/>
        <v>19.95</v>
      </c>
    </row>
    <row r="84" spans="1:11" x14ac:dyDescent="0.3">
      <c r="A84">
        <v>83</v>
      </c>
      <c r="B84">
        <f>_xlfn.XMATCH(A84,sales_orders[acu_items],1)</f>
        <v>39</v>
      </c>
      <c r="C84" cm="1">
        <f t="array" ref="C84">A84-IF(B84=1,0,INDEX(sales_orders[acu_items],B84-1))</f>
        <v>5</v>
      </c>
      <c r="D84" cm="1">
        <f t="array" ref="D84">INDEX(sales_orders[order_number],B84)</f>
        <v>1428004</v>
      </c>
      <c r="E84" s="1" cm="1">
        <f t="array" ref="E84">INDEX(sales_orders[order_date],B84)</f>
        <v>43432</v>
      </c>
      <c r="F84" t="str" cm="1">
        <f t="array" ref="F84">INDEX(sales_orders[fulfillment],B84)</f>
        <v>In store</v>
      </c>
      <c r="G84" t="str" cm="1">
        <f t="array" ref="G84">INDEX(sales_orders[line_items],B84)</f>
        <v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v>
      </c>
      <c r="H84" t="str">
        <f t="shared" si="4"/>
        <v>WWI Wireless Transmitter and Bluetooth Headphones X250 White</v>
      </c>
      <c r="I84" s="4">
        <f t="shared" si="5"/>
        <v>1</v>
      </c>
      <c r="J84" s="3">
        <f t="shared" si="6"/>
        <v>249.99</v>
      </c>
      <c r="K84">
        <f t="shared" si="7"/>
        <v>249.99</v>
      </c>
    </row>
    <row r="85" spans="1:11" x14ac:dyDescent="0.3">
      <c r="A85">
        <v>84</v>
      </c>
      <c r="B85">
        <f>_xlfn.XMATCH(A85,sales_orders[acu_items],1)</f>
        <v>40</v>
      </c>
      <c r="C85" cm="1">
        <f t="array" ref="C85">A85-IF(B85=1,0,INDEX(sales_orders[acu_items],B85-1))</f>
        <v>1</v>
      </c>
      <c r="D85" cm="1">
        <f t="array" ref="D85">INDEX(sales_orders[order_number],B85)</f>
        <v>1436011</v>
      </c>
      <c r="E85" s="1" cm="1">
        <f t="array" ref="E85">INDEX(sales_orders[order_date],B85)</f>
        <v>43440</v>
      </c>
      <c r="F85" t="str" cm="1">
        <f t="array" ref="F85">INDEX(sales_orders[fulfillment],B85)</f>
        <v>In store</v>
      </c>
      <c r="G85" t="str" cm="1">
        <f t="array" ref="G85">INDEX(sales_orders[line_items],B85)</f>
        <v>[_x000D_
  {_x000D_
    "product": {_x000D_
      "product_name": "Contoso Hybrid system M60 Black",_x000D_
      "product_price": 28.99_x000D_
    },_x000D_
    "quantity": 1_x000D_
  },_x000D_
  {_x000D_
    "product": {_x000D_
      "product_name": "Adventure Works Laptop15.4W M1548 Red",_x000D_
      "product_price": 758_x000D_
    },_x000D_
    "quantity": 2_x000D_
  },_x000D_
  {_x000D_
    "product": {_x000D_
      "product_name": "The Phone Company Microsoft Windows Mobile M200 Black",_x000D_
      "product_price": 229_x000D_
    },_x000D_
    "quantity": 1_x000D_
  }_x000D_
]</v>
      </c>
      <c r="H85" t="str">
        <f t="shared" si="4"/>
        <v>Contoso Hybrid system M60 Black</v>
      </c>
      <c r="I85" s="4">
        <f t="shared" si="5"/>
        <v>1</v>
      </c>
      <c r="J85" s="3">
        <f t="shared" si="6"/>
        <v>28.99</v>
      </c>
      <c r="K85">
        <f t="shared" si="7"/>
        <v>28.99</v>
      </c>
    </row>
    <row r="86" spans="1:11" x14ac:dyDescent="0.3">
      <c r="A86">
        <v>85</v>
      </c>
      <c r="B86">
        <f>_xlfn.XMATCH(A86,sales_orders[acu_items],1)</f>
        <v>40</v>
      </c>
      <c r="C86" cm="1">
        <f t="array" ref="C86">A86-IF(B86=1,0,INDEX(sales_orders[acu_items],B86-1))</f>
        <v>2</v>
      </c>
      <c r="D86" cm="1">
        <f t="array" ref="D86">INDEX(sales_orders[order_number],B86)</f>
        <v>1436011</v>
      </c>
      <c r="E86" s="1" cm="1">
        <f t="array" ref="E86">INDEX(sales_orders[order_date],B86)</f>
        <v>43440</v>
      </c>
      <c r="F86" t="str" cm="1">
        <f t="array" ref="F86">INDEX(sales_orders[fulfillment],B86)</f>
        <v>In store</v>
      </c>
      <c r="G86" t="str" cm="1">
        <f t="array" ref="G86">INDEX(sales_orders[line_items],B86)</f>
        <v>[_x000D_
  {_x000D_
    "product": {_x000D_
      "product_name": "Contoso Hybrid system M60 Black",_x000D_
      "product_price": 28.99_x000D_
    },_x000D_
    "quantity": 1_x000D_
  },_x000D_
  {_x000D_
    "product": {_x000D_
      "product_name": "Adventure Works Laptop15.4W M1548 Red",_x000D_
      "product_price": 758_x000D_
    },_x000D_
    "quantity": 2_x000D_
  },_x000D_
  {_x000D_
    "product": {_x000D_
      "product_name": "The Phone Company Microsoft Windows Mobile M200 Black",_x000D_
      "product_price": 229_x000D_
    },_x000D_
    "quantity": 1_x000D_
  }_x000D_
]</v>
      </c>
      <c r="H86" t="str">
        <f t="shared" si="4"/>
        <v>Adventure Works Laptop15.4W M1548 Red</v>
      </c>
      <c r="I86" s="4">
        <f t="shared" si="5"/>
        <v>2</v>
      </c>
      <c r="J86" s="3">
        <f t="shared" si="6"/>
        <v>758</v>
      </c>
      <c r="K86">
        <f t="shared" si="7"/>
        <v>1516</v>
      </c>
    </row>
    <row r="87" spans="1:11" x14ac:dyDescent="0.3">
      <c r="A87">
        <v>86</v>
      </c>
      <c r="B87">
        <f>_xlfn.XMATCH(A87,sales_orders[acu_items],1)</f>
        <v>40</v>
      </c>
      <c r="C87" cm="1">
        <f t="array" ref="C87">A87-IF(B87=1,0,INDEX(sales_orders[acu_items],B87-1))</f>
        <v>3</v>
      </c>
      <c r="D87" cm="1">
        <f t="array" ref="D87">INDEX(sales_orders[order_number],B87)</f>
        <v>1436011</v>
      </c>
      <c r="E87" s="1" cm="1">
        <f t="array" ref="E87">INDEX(sales_orders[order_date],B87)</f>
        <v>43440</v>
      </c>
      <c r="F87" t="str" cm="1">
        <f t="array" ref="F87">INDEX(sales_orders[fulfillment],B87)</f>
        <v>In store</v>
      </c>
      <c r="G87" t="str" cm="1">
        <f t="array" ref="G87">INDEX(sales_orders[line_items],B87)</f>
        <v>[_x000D_
  {_x000D_
    "product": {_x000D_
      "product_name": "Contoso Hybrid system M60 Black",_x000D_
      "product_price": 28.99_x000D_
    },_x000D_
    "quantity": 1_x000D_
  },_x000D_
  {_x000D_
    "product": {_x000D_
      "product_name": "Adventure Works Laptop15.4W M1548 Red",_x000D_
      "product_price": 758_x000D_
    },_x000D_
    "quantity": 2_x000D_
  },_x000D_
  {_x000D_
    "product": {_x000D_
      "product_name": "The Phone Company Microsoft Windows Mobile M200 Black",_x000D_
      "product_price": 229_x000D_
    },_x000D_
    "quantity": 1_x000D_
  }_x000D_
]</v>
      </c>
      <c r="H87" t="str">
        <f t="shared" si="4"/>
        <v>The Phone Company Microsoft Windows Mobile M200 Black</v>
      </c>
      <c r="I87" s="4">
        <f t="shared" si="5"/>
        <v>1</v>
      </c>
      <c r="J87" s="3">
        <f t="shared" si="6"/>
        <v>229</v>
      </c>
      <c r="K87">
        <f t="shared" si="7"/>
        <v>229</v>
      </c>
    </row>
    <row r="88" spans="1:11" x14ac:dyDescent="0.3">
      <c r="A88">
        <v>87</v>
      </c>
      <c r="B88">
        <f>_xlfn.XMATCH(A88,sales_orders[acu_items],1)</f>
        <v>41</v>
      </c>
      <c r="C88" cm="1">
        <f t="array" ref="C88">A88-IF(B88=1,0,INDEX(sales_orders[acu_items],B88-1))</f>
        <v>1</v>
      </c>
      <c r="D88" cm="1">
        <f t="array" ref="D88">INDEX(sales_orders[order_number],B88)</f>
        <v>1450050</v>
      </c>
      <c r="E88" s="1" cm="1">
        <f t="array" ref="E88">INDEX(sales_orders[order_date],B88)</f>
        <v>43454</v>
      </c>
      <c r="F88" t="str" cm="1">
        <f t="array" ref="F88">INDEX(sales_orders[fulfillment],B88)</f>
        <v>Online</v>
      </c>
      <c r="G88" t="str" cm="1">
        <f t="array" ref="G88">INDEX(sales_orders[line_items],B88)</f>
        <v>[_x000D_
  {_x000D_
    "product": {_x000D_
      "product_name": "Reusable Phone Screen Protector E120",_x000D_
      "product_price": 2.94_x000D_
    },_x000D_
    "quantity": 1_x000D_
  }_x000D_
]</v>
      </c>
      <c r="H88" t="str">
        <f t="shared" si="4"/>
        <v>Reusable Phone Screen Protector E120</v>
      </c>
      <c r="I88" s="4">
        <f t="shared" si="5"/>
        <v>1</v>
      </c>
      <c r="J88" s="3">
        <f t="shared" si="6"/>
        <v>2.94</v>
      </c>
      <c r="K88">
        <f t="shared" si="7"/>
        <v>2.94</v>
      </c>
    </row>
    <row r="89" spans="1:11" x14ac:dyDescent="0.3">
      <c r="A89">
        <v>88</v>
      </c>
      <c r="B89">
        <f>_xlfn.XMATCH(A89,sales_orders[acu_items],1)</f>
        <v>42</v>
      </c>
      <c r="C89" cm="1">
        <f t="array" ref="C89">A89-IF(B89=1,0,INDEX(sales_orders[acu_items],B89-1))</f>
        <v>1</v>
      </c>
      <c r="D89" cm="1">
        <f t="array" ref="D89">INDEX(sales_orders[order_number],B89)</f>
        <v>1456008</v>
      </c>
      <c r="E89" s="1" cm="1">
        <f t="array" ref="E89">INDEX(sales_orders[order_date],B89)</f>
        <v>43460</v>
      </c>
      <c r="F89" t="str" cm="1">
        <f t="array" ref="F89">INDEX(sales_orders[fulfillment],B89)</f>
        <v>In store</v>
      </c>
      <c r="G89" t="str" cm="1">
        <f t="array" ref="G89">INDEX(sales_orders[line_items],B89)</f>
        <v>[_x000D_
  {_x000D_
    "product": {_x000D_
      "product_name": "SV DVD 38 DVD Storage Binder E25 Black",_x000D_
      "product_price": 9.99_x000D_
    },_x000D_
    "quantity": 3_x000D_
  },_x000D_
  {_x000D_
    "product": {_x000D_
      "product_name": "Contoso General Carrying Case E304 Blue",_x000D_
      "product_price": 19.99_x000D_
    },_x000D_
    "quantity": 6_x000D_
  },_x000D_
  {_x000D_
    "product": {_x000D_
      "product_name": "SV DVD 7-Inch Player Portable E200 Silver",_x000D_
      "product_price": 109.99_x000D_
    },_x000D_
    "quantity": 3_x000D_
  }_x000D_
]</v>
      </c>
      <c r="H89" t="str">
        <f t="shared" si="4"/>
        <v>SV DVD 38 DVD Storage Binder E25 Black</v>
      </c>
      <c r="I89" s="4">
        <f t="shared" si="5"/>
        <v>3</v>
      </c>
      <c r="J89" s="3">
        <f t="shared" si="6"/>
        <v>9.99</v>
      </c>
      <c r="K89">
        <f t="shared" si="7"/>
        <v>29.97</v>
      </c>
    </row>
    <row r="90" spans="1:11" x14ac:dyDescent="0.3">
      <c r="A90">
        <v>89</v>
      </c>
      <c r="B90">
        <f>_xlfn.XMATCH(A90,sales_orders[acu_items],1)</f>
        <v>42</v>
      </c>
      <c r="C90" cm="1">
        <f t="array" ref="C90">A90-IF(B90=1,0,INDEX(sales_orders[acu_items],B90-1))</f>
        <v>2</v>
      </c>
      <c r="D90" cm="1">
        <f t="array" ref="D90">INDEX(sales_orders[order_number],B90)</f>
        <v>1456008</v>
      </c>
      <c r="E90" s="1" cm="1">
        <f t="array" ref="E90">INDEX(sales_orders[order_date],B90)</f>
        <v>43460</v>
      </c>
      <c r="F90" t="str" cm="1">
        <f t="array" ref="F90">INDEX(sales_orders[fulfillment],B90)</f>
        <v>In store</v>
      </c>
      <c r="G90" t="str" cm="1">
        <f t="array" ref="G90">INDEX(sales_orders[line_items],B90)</f>
        <v>[_x000D_
  {_x000D_
    "product": {_x000D_
      "product_name": "SV DVD 38 DVD Storage Binder E25 Black",_x000D_
      "product_price": 9.99_x000D_
    },_x000D_
    "quantity": 3_x000D_
  },_x000D_
  {_x000D_
    "product": {_x000D_
      "product_name": "Contoso General Carrying Case E304 Blue",_x000D_
      "product_price": 19.99_x000D_
    },_x000D_
    "quantity": 6_x000D_
  },_x000D_
  {_x000D_
    "product": {_x000D_
      "product_name": "SV DVD 7-Inch Player Portable E200 Silver",_x000D_
      "product_price": 109.99_x000D_
    },_x000D_
    "quantity": 3_x000D_
  }_x000D_
]</v>
      </c>
      <c r="H90" t="str">
        <f t="shared" si="4"/>
        <v>Contoso General Carrying Case E304 Blue</v>
      </c>
      <c r="I90" s="4">
        <f t="shared" si="5"/>
        <v>6</v>
      </c>
      <c r="J90" s="3">
        <f t="shared" si="6"/>
        <v>19.989999999999998</v>
      </c>
      <c r="K90">
        <f t="shared" si="7"/>
        <v>119.94</v>
      </c>
    </row>
    <row r="91" spans="1:11" x14ac:dyDescent="0.3">
      <c r="A91">
        <v>90</v>
      </c>
      <c r="B91">
        <f>_xlfn.XMATCH(A91,sales_orders[acu_items],1)</f>
        <v>42</v>
      </c>
      <c r="C91" cm="1">
        <f t="array" ref="C91">A91-IF(B91=1,0,INDEX(sales_orders[acu_items],B91-1))</f>
        <v>3</v>
      </c>
      <c r="D91" cm="1">
        <f t="array" ref="D91">INDEX(sales_orders[order_number],B91)</f>
        <v>1456008</v>
      </c>
      <c r="E91" s="1" cm="1">
        <f t="array" ref="E91">INDEX(sales_orders[order_date],B91)</f>
        <v>43460</v>
      </c>
      <c r="F91" t="str" cm="1">
        <f t="array" ref="F91">INDEX(sales_orders[fulfillment],B91)</f>
        <v>In store</v>
      </c>
      <c r="G91" t="str" cm="1">
        <f t="array" ref="G91">INDEX(sales_orders[line_items],B91)</f>
        <v>[_x000D_
  {_x000D_
    "product": {_x000D_
      "product_name": "SV DVD 38 DVD Storage Binder E25 Black",_x000D_
      "product_price": 9.99_x000D_
    },_x000D_
    "quantity": 3_x000D_
  },_x000D_
  {_x000D_
    "product": {_x000D_
      "product_name": "Contoso General Carrying Case E304 Blue",_x000D_
      "product_price": 19.99_x000D_
    },_x000D_
    "quantity": 6_x000D_
  },_x000D_
  {_x000D_
    "product": {_x000D_
      "product_name": "SV DVD 7-Inch Player Portable E200 Silver",_x000D_
      "product_price": 109.99_x000D_
    },_x000D_
    "quantity": 3_x000D_
  }_x000D_
]</v>
      </c>
      <c r="H91" t="str">
        <f t="shared" si="4"/>
        <v>SV DVD 7-Inch Player Portable E200 Silver</v>
      </c>
      <c r="I91" s="4">
        <f t="shared" si="5"/>
        <v>3</v>
      </c>
      <c r="J91" s="3">
        <f t="shared" si="6"/>
        <v>109.99</v>
      </c>
      <c r="K91">
        <f t="shared" si="7"/>
        <v>329.96999999999997</v>
      </c>
    </row>
    <row r="92" spans="1:11" x14ac:dyDescent="0.3">
      <c r="A92">
        <v>91</v>
      </c>
      <c r="B92">
        <f>_xlfn.XMATCH(A92,sales_orders[acu_items],1)</f>
        <v>43</v>
      </c>
      <c r="C92" cm="1">
        <f t="array" ref="C92">A92-IF(B92=1,0,INDEX(sales_orders[acu_items],B92-1))</f>
        <v>1</v>
      </c>
      <c r="D92" cm="1">
        <f t="array" ref="D92">INDEX(sales_orders[order_number],B92)</f>
        <v>1457067</v>
      </c>
      <c r="E92" s="1" cm="1">
        <f t="array" ref="E92">INDEX(sales_orders[order_date],B92)</f>
        <v>43461</v>
      </c>
      <c r="F92" t="str" cm="1">
        <f t="array" ref="F92">INDEX(sales_orders[fulfillment],B92)</f>
        <v>Online</v>
      </c>
      <c r="G92" t="str" cm="1">
        <f t="array" ref="G92">INDEX(sales_orders[line_items],B92)</f>
        <v>[_x000D_
  {_x000D_
    "product": {_x000D_
      "product_name": "The Phone Company Touch Screen Phone 1600 TFT-2.2 L200 Black",_x000D_
      "product_price": 529_x000D_
    },_x000D_
    "quantity": 2_x000D_
  }_x000D_
]</v>
      </c>
      <c r="H92" t="str">
        <f t="shared" si="4"/>
        <v>The Phone Company Touch Screen Phone 1600 TFT-2.2 L200 Black</v>
      </c>
      <c r="I92" s="4">
        <f t="shared" si="5"/>
        <v>2</v>
      </c>
      <c r="J92" s="3">
        <f t="shared" si="6"/>
        <v>529</v>
      </c>
      <c r="K92">
        <f t="shared" si="7"/>
        <v>1058</v>
      </c>
    </row>
    <row r="93" spans="1:11" x14ac:dyDescent="0.3">
      <c r="A93">
        <v>92</v>
      </c>
      <c r="B93">
        <f>_xlfn.XMATCH(A93,sales_orders[acu_items],1)</f>
        <v>44</v>
      </c>
      <c r="C93" cm="1">
        <f t="array" ref="C93">A93-IF(B93=1,0,INDEX(sales_orders[acu_items],B93-1))</f>
        <v>1</v>
      </c>
      <c r="D93" cm="1">
        <f t="array" ref="D93">INDEX(sales_orders[order_number],B93)</f>
        <v>1464006</v>
      </c>
      <c r="E93" s="1" cm="1">
        <f t="array" ref="E93">INDEX(sales_orders[order_date],B93)</f>
        <v>43468</v>
      </c>
      <c r="F93" t="str" cm="1">
        <f t="array" ref="F93">INDEX(sales_orders[fulfillment],B93)</f>
        <v>Online</v>
      </c>
      <c r="G93" t="str" cm="1">
        <f t="array" ref="G93">INDEX(sales_orders[line_items],B93)</f>
        <v>[_x000D_
  {_x000D_
    "product": {_x000D_
      "product_name": "SV DVD Player M130 Grey",_x000D_
      "product_price": 59.99_x000D_
    },_x000D_
    "quantity": 1_x000D_
  },_x000D_
  {_x000D_
    "product": {_x000D_
      "product_name": "MGS Age of Mythology E118",_x000D_
      "product_price": 28_x000D_
    },_x000D_
    "quantity": 4_x000D_
  }_x000D_
]</v>
      </c>
      <c r="H93" t="str">
        <f t="shared" si="4"/>
        <v>SV DVD Player M130 Grey</v>
      </c>
      <c r="I93" s="4">
        <f t="shared" si="5"/>
        <v>1</v>
      </c>
      <c r="J93" s="3">
        <f t="shared" si="6"/>
        <v>59.99</v>
      </c>
      <c r="K93">
        <f t="shared" si="7"/>
        <v>59.99</v>
      </c>
    </row>
    <row r="94" spans="1:11" x14ac:dyDescent="0.3">
      <c r="A94">
        <v>93</v>
      </c>
      <c r="B94">
        <f>_xlfn.XMATCH(A94,sales_orders[acu_items],1)</f>
        <v>44</v>
      </c>
      <c r="C94" cm="1">
        <f t="array" ref="C94">A94-IF(B94=1,0,INDEX(sales_orders[acu_items],B94-1))</f>
        <v>2</v>
      </c>
      <c r="D94" cm="1">
        <f t="array" ref="D94">INDEX(sales_orders[order_number],B94)</f>
        <v>1464006</v>
      </c>
      <c r="E94" s="1" cm="1">
        <f t="array" ref="E94">INDEX(sales_orders[order_date],B94)</f>
        <v>43468</v>
      </c>
      <c r="F94" t="str" cm="1">
        <f t="array" ref="F94">INDEX(sales_orders[fulfillment],B94)</f>
        <v>Online</v>
      </c>
      <c r="G94" t="str" cm="1">
        <f t="array" ref="G94">INDEX(sales_orders[line_items],B94)</f>
        <v>[_x000D_
  {_x000D_
    "product": {_x000D_
      "product_name": "SV DVD Player M130 Grey",_x000D_
      "product_price": 59.99_x000D_
    },_x000D_
    "quantity": 1_x000D_
  },_x000D_
  {_x000D_
    "product": {_x000D_
      "product_name": "MGS Age of Mythology E118",_x000D_
      "product_price": 28_x000D_
    },_x000D_
    "quantity": 4_x000D_
  }_x000D_
]</v>
      </c>
      <c r="H94" t="str">
        <f t="shared" si="4"/>
        <v>MGS Age of Mythology E118</v>
      </c>
      <c r="I94" s="4">
        <f t="shared" si="5"/>
        <v>4</v>
      </c>
      <c r="J94" s="3">
        <f t="shared" si="6"/>
        <v>28</v>
      </c>
      <c r="K94">
        <f t="shared" si="7"/>
        <v>112</v>
      </c>
    </row>
    <row r="95" spans="1:11" x14ac:dyDescent="0.3">
      <c r="A95">
        <v>94</v>
      </c>
      <c r="B95">
        <f>_xlfn.XMATCH(A95,sales_orders[acu_items],1)</f>
        <v>45</v>
      </c>
      <c r="C95" cm="1">
        <f t="array" ref="C95">A95-IF(B95=1,0,INDEX(sales_orders[acu_items],B95-1))</f>
        <v>1</v>
      </c>
      <c r="D95" cm="1">
        <f t="array" ref="D95">INDEX(sales_orders[order_number],B95)</f>
        <v>1470028</v>
      </c>
      <c r="E95" s="1" cm="1">
        <f t="array" ref="E95">INDEX(sales_orders[order_date],B95)</f>
        <v>43474</v>
      </c>
      <c r="F95" t="str" cm="1">
        <f t="array" ref="F95">INDEX(sales_orders[fulfillment],B95)</f>
        <v>In store</v>
      </c>
      <c r="G95" t="str" cm="1">
        <f t="array" ref="G95">INDEX(sales_orders[line_items],B95)</f>
        <v>[_x000D_
  {_x000D_
    "product": {_x000D_
      "product_name": "The Phone Company Touch Screen Phones 4-Wire/ Built-in M205 Gold",_x000D_
      "product_price": 268_x000D_
    },_x000D_
    "quantity": 1_x000D_
  },_x000D_
  {_x000D_
    "product": {_x000D_
      "product_name": "Contoso Screen 80in E080 White",_x000D_
      "product_price": 109_x000D_
    },_x000D_
    "quantity": 1_x000D_
  },_x000D_
  {_x000D_
    "product": {_x000D_
      "product_name": "NT Bluetooth Stereo Headphones E52 Blue",_x000D_
      "product_price": 25.69_x000D_
    },_x000D_
    "quantity": 3_x000D_
  },_x000D_
  {_x000D_
    "product": {_x000D_
      "product_name": "MGS King&amp; Myths: The Age Collection M340",_x000D_
      "product_price": 72.45_x000D_
    },_x000D_
    "quantity": 6_x000D_
  }_x000D_
]</v>
      </c>
      <c r="H95" t="str">
        <f t="shared" si="4"/>
        <v>The Phone Company Touch Screen Phones 4-Wire/ Built-in M205 Gold</v>
      </c>
      <c r="I95" s="4">
        <f t="shared" si="5"/>
        <v>1</v>
      </c>
      <c r="J95" s="3">
        <f t="shared" si="6"/>
        <v>268</v>
      </c>
      <c r="K95">
        <f t="shared" si="7"/>
        <v>268</v>
      </c>
    </row>
    <row r="96" spans="1:11" x14ac:dyDescent="0.3">
      <c r="A96">
        <v>95</v>
      </c>
      <c r="B96">
        <f>_xlfn.XMATCH(A96,sales_orders[acu_items],1)</f>
        <v>45</v>
      </c>
      <c r="C96" cm="1">
        <f t="array" ref="C96">A96-IF(B96=1,0,INDEX(sales_orders[acu_items],B96-1))</f>
        <v>2</v>
      </c>
      <c r="D96" cm="1">
        <f t="array" ref="D96">INDEX(sales_orders[order_number],B96)</f>
        <v>1470028</v>
      </c>
      <c r="E96" s="1" cm="1">
        <f t="array" ref="E96">INDEX(sales_orders[order_date],B96)</f>
        <v>43474</v>
      </c>
      <c r="F96" t="str" cm="1">
        <f t="array" ref="F96">INDEX(sales_orders[fulfillment],B96)</f>
        <v>In store</v>
      </c>
      <c r="G96" t="str" cm="1">
        <f t="array" ref="G96">INDEX(sales_orders[line_items],B96)</f>
        <v>[_x000D_
  {_x000D_
    "product": {_x000D_
      "product_name": "The Phone Company Touch Screen Phones 4-Wire/ Built-in M205 Gold",_x000D_
      "product_price": 268_x000D_
    },_x000D_
    "quantity": 1_x000D_
  },_x000D_
  {_x000D_
    "product": {_x000D_
      "product_name": "Contoso Screen 80in E080 White",_x000D_
      "product_price": 109_x000D_
    },_x000D_
    "quantity": 1_x000D_
  },_x000D_
  {_x000D_
    "product": {_x000D_
      "product_name": "NT Bluetooth Stereo Headphones E52 Blue",_x000D_
      "product_price": 25.69_x000D_
    },_x000D_
    "quantity": 3_x000D_
  },_x000D_
  {_x000D_
    "product": {_x000D_
      "product_name": "MGS King&amp; Myths: The Age Collection M340",_x000D_
      "product_price": 72.45_x000D_
    },_x000D_
    "quantity": 6_x000D_
  }_x000D_
]</v>
      </c>
      <c r="H96" t="str">
        <f t="shared" si="4"/>
        <v>Contoso Screen 80in E080 White</v>
      </c>
      <c r="I96" s="4">
        <f t="shared" si="5"/>
        <v>1</v>
      </c>
      <c r="J96" s="3">
        <f t="shared" si="6"/>
        <v>109</v>
      </c>
      <c r="K96">
        <f t="shared" si="7"/>
        <v>109</v>
      </c>
    </row>
    <row r="97" spans="1:11" x14ac:dyDescent="0.3">
      <c r="A97">
        <v>96</v>
      </c>
      <c r="B97">
        <f>_xlfn.XMATCH(A97,sales_orders[acu_items],1)</f>
        <v>45</v>
      </c>
      <c r="C97" cm="1">
        <f t="array" ref="C97">A97-IF(B97=1,0,INDEX(sales_orders[acu_items],B97-1))</f>
        <v>3</v>
      </c>
      <c r="D97" cm="1">
        <f t="array" ref="D97">INDEX(sales_orders[order_number],B97)</f>
        <v>1470028</v>
      </c>
      <c r="E97" s="1" cm="1">
        <f t="array" ref="E97">INDEX(sales_orders[order_date],B97)</f>
        <v>43474</v>
      </c>
      <c r="F97" t="str" cm="1">
        <f t="array" ref="F97">INDEX(sales_orders[fulfillment],B97)</f>
        <v>In store</v>
      </c>
      <c r="G97" t="str" cm="1">
        <f t="array" ref="G97">INDEX(sales_orders[line_items],B97)</f>
        <v>[_x000D_
  {_x000D_
    "product": {_x000D_
      "product_name": "The Phone Company Touch Screen Phones 4-Wire/ Built-in M205 Gold",_x000D_
      "product_price": 268_x000D_
    },_x000D_
    "quantity": 1_x000D_
  },_x000D_
  {_x000D_
    "product": {_x000D_
      "product_name": "Contoso Screen 80in E080 White",_x000D_
      "product_price": 109_x000D_
    },_x000D_
    "quantity": 1_x000D_
  },_x000D_
  {_x000D_
    "product": {_x000D_
      "product_name": "NT Bluetooth Stereo Headphones E52 Blue",_x000D_
      "product_price": 25.69_x000D_
    },_x000D_
    "quantity": 3_x000D_
  },_x000D_
  {_x000D_
    "product": {_x000D_
      "product_name": "MGS King&amp; Myths: The Age Collection M340",_x000D_
      "product_price": 72.45_x000D_
    },_x000D_
    "quantity": 6_x000D_
  }_x000D_
]</v>
      </c>
      <c r="H97" t="str">
        <f t="shared" si="4"/>
        <v>NT Bluetooth Stereo Headphones E52 Blue</v>
      </c>
      <c r="I97" s="4">
        <f t="shared" si="5"/>
        <v>3</v>
      </c>
      <c r="J97" s="3">
        <f t="shared" si="6"/>
        <v>25.69</v>
      </c>
      <c r="K97">
        <f t="shared" si="7"/>
        <v>77.070000000000007</v>
      </c>
    </row>
    <row r="98" spans="1:11" x14ac:dyDescent="0.3">
      <c r="A98">
        <v>97</v>
      </c>
      <c r="B98">
        <f>_xlfn.XMATCH(A98,sales_orders[acu_items],1)</f>
        <v>45</v>
      </c>
      <c r="C98" cm="1">
        <f t="array" ref="C98">A98-IF(B98=1,0,INDEX(sales_orders[acu_items],B98-1))</f>
        <v>4</v>
      </c>
      <c r="D98" cm="1">
        <f t="array" ref="D98">INDEX(sales_orders[order_number],B98)</f>
        <v>1470028</v>
      </c>
      <c r="E98" s="1" cm="1">
        <f t="array" ref="E98">INDEX(sales_orders[order_date],B98)</f>
        <v>43474</v>
      </c>
      <c r="F98" t="str" cm="1">
        <f t="array" ref="F98">INDEX(sales_orders[fulfillment],B98)</f>
        <v>In store</v>
      </c>
      <c r="G98" t="str" cm="1">
        <f t="array" ref="G98">INDEX(sales_orders[line_items],B98)</f>
        <v>[_x000D_
  {_x000D_
    "product": {_x000D_
      "product_name": "The Phone Company Touch Screen Phones 4-Wire/ Built-in M205 Gold",_x000D_
      "product_price": 268_x000D_
    },_x000D_
    "quantity": 1_x000D_
  },_x000D_
  {_x000D_
    "product": {_x000D_
      "product_name": "Contoso Screen 80in E080 White",_x000D_
      "product_price": 109_x000D_
    },_x000D_
    "quantity": 1_x000D_
  },_x000D_
  {_x000D_
    "product": {_x000D_
      "product_name": "NT Bluetooth Stereo Headphones E52 Blue",_x000D_
      "product_price": 25.69_x000D_
    },_x000D_
    "quantity": 3_x000D_
  },_x000D_
  {_x000D_
    "product": {_x000D_
      "product_name": "MGS King&amp; Myths: The Age Collection M340",_x000D_
      "product_price": 72.45_x000D_
    },_x000D_
    "quantity": 6_x000D_
  }_x000D_
]</v>
      </c>
      <c r="H98" t="str">
        <f t="shared" si="4"/>
        <v>MGS King&amp; Myths: The Age Collection M340</v>
      </c>
      <c r="I98" s="4">
        <f t="shared" si="5"/>
        <v>6</v>
      </c>
      <c r="J98" s="3">
        <f t="shared" si="6"/>
        <v>72.45</v>
      </c>
      <c r="K98">
        <f t="shared" si="7"/>
        <v>434.70000000000005</v>
      </c>
    </row>
    <row r="99" spans="1:11" x14ac:dyDescent="0.3">
      <c r="A99">
        <v>98</v>
      </c>
      <c r="B99">
        <f>_xlfn.XMATCH(A99,sales_orders[acu_items],1)</f>
        <v>46</v>
      </c>
      <c r="C99" cm="1">
        <f t="array" ref="C99">A99-IF(B99=1,0,INDEX(sales_orders[acu_items],B99-1))</f>
        <v>1</v>
      </c>
      <c r="D99" cm="1">
        <f t="array" ref="D99">INDEX(sales_orders[order_number],B99)</f>
        <v>1476005</v>
      </c>
      <c r="E99" s="1" cm="1">
        <f t="array" ref="E99">INDEX(sales_orders[order_date],B99)</f>
        <v>43480</v>
      </c>
      <c r="F99" t="str" cm="1">
        <f t="array" ref="F99">INDEX(sales_orders[fulfillment],B99)</f>
        <v>In store</v>
      </c>
      <c r="G99" t="str" cm="1">
        <f t="array" ref="G99">INDEX(sales_orders[line_items],B99)</f>
        <v>[_x000D_
  {_x000D_
    "product": {_x000D_
      "product_name": "The Phone Company PDA Phone Unlocked 3.5 inches M530 Black",_x000D_
      "product_price": 268_x000D_
    },_x000D_
    "quantity": 2_x000D_
  }_x000D_
]</v>
      </c>
      <c r="H99" t="str">
        <f t="shared" si="4"/>
        <v>The Phone Company PDA Phone Unlocked 3.5 inches M530 Black</v>
      </c>
      <c r="I99" s="4">
        <f t="shared" si="5"/>
        <v>2</v>
      </c>
      <c r="J99" s="3">
        <f t="shared" si="6"/>
        <v>268</v>
      </c>
      <c r="K99">
        <f t="shared" si="7"/>
        <v>536</v>
      </c>
    </row>
    <row r="100" spans="1:11" x14ac:dyDescent="0.3">
      <c r="A100">
        <v>99</v>
      </c>
      <c r="B100">
        <f>_xlfn.XMATCH(A100,sales_orders[acu_items],1)</f>
        <v>47</v>
      </c>
      <c r="C100" cm="1">
        <f t="array" ref="C100">A100-IF(B100=1,0,INDEX(sales_orders[acu_items],B100-1))</f>
        <v>1</v>
      </c>
      <c r="D100" cm="1">
        <f t="array" ref="D100">INDEX(sales_orders[order_number],B100)</f>
        <v>1487027</v>
      </c>
      <c r="E100" s="1" cm="1">
        <f t="array" ref="E100">INDEX(sales_orders[order_date],B100)</f>
        <v>43491</v>
      </c>
      <c r="F100" t="str" cm="1">
        <f t="array" ref="F100">INDEX(sales_orders[fulfillment],B100)</f>
        <v>In store</v>
      </c>
      <c r="G100" t="str" cm="1">
        <f t="array" ref="G100">INDEX(sales_orders[line_items],B100)</f>
        <v>[_x000D_
  {_x000D_
    "product": {_x000D_
      "product_name": "The Phone Company Smart phones Expert M400 Grey",_x000D_
      "product_price": 300_x000D_
    },_x000D_
    "quantity": 2_x000D_
  },_x000D_
  {_x000D_
    "product": {_x000D_
      "product_name": "Fabrikam Microwave 1.0CuFt E1100 Black",_x000D_
      "product_price": 139.99_x000D_
    },_x000D_
    "quantity": 3_x000D_
  },_x000D_
  {_x000D_
    "product": {_x000D_
      "product_name": "Fabrikam Refrigerator 3.2CuFt E1600 Orange",_x000D_
      "product_price": 279.99_x000D_
    },_x000D_
    "quantity": 1_x000D_
  },_x000D_
  {_x000D_
    "product": {_x000D_
      "product_name": "Contoso DVD 60 DVD Storage Binder L20 Silver",_x000D_
      "product_price": 22.89_x000D_
    },_x000D_
    "quantity": 3_x000D_
  }_x000D_
]</v>
      </c>
      <c r="H100" t="str">
        <f t="shared" si="4"/>
        <v>The Phone Company Smart phones Expert M400 Grey</v>
      </c>
      <c r="I100" s="4">
        <f t="shared" si="5"/>
        <v>2</v>
      </c>
      <c r="J100" s="3">
        <f t="shared" si="6"/>
        <v>300</v>
      </c>
      <c r="K100">
        <f t="shared" si="7"/>
        <v>600</v>
      </c>
    </row>
    <row r="101" spans="1:11" x14ac:dyDescent="0.3">
      <c r="A101">
        <v>100</v>
      </c>
      <c r="B101">
        <f>_xlfn.XMATCH(A101,sales_orders[acu_items],1)</f>
        <v>47</v>
      </c>
      <c r="C101" cm="1">
        <f t="array" ref="C101">A101-IF(B101=1,0,INDEX(sales_orders[acu_items],B101-1))</f>
        <v>2</v>
      </c>
      <c r="D101" cm="1">
        <f t="array" ref="D101">INDEX(sales_orders[order_number],B101)</f>
        <v>1487027</v>
      </c>
      <c r="E101" s="1" cm="1">
        <f t="array" ref="E101">INDEX(sales_orders[order_date],B101)</f>
        <v>43491</v>
      </c>
      <c r="F101" t="str" cm="1">
        <f t="array" ref="F101">INDEX(sales_orders[fulfillment],B101)</f>
        <v>In store</v>
      </c>
      <c r="G101" t="str" cm="1">
        <f t="array" ref="G101">INDEX(sales_orders[line_items],B101)</f>
        <v>[_x000D_
  {_x000D_
    "product": {_x000D_
      "product_name": "The Phone Company Smart phones Expert M400 Grey",_x000D_
      "product_price": 300_x000D_
    },_x000D_
    "quantity": 2_x000D_
  },_x000D_
  {_x000D_
    "product": {_x000D_
      "product_name": "Fabrikam Microwave 1.0CuFt E1100 Black",_x000D_
      "product_price": 139.99_x000D_
    },_x000D_
    "quantity": 3_x000D_
  },_x000D_
  {_x000D_
    "product": {_x000D_
      "product_name": "Fabrikam Refrigerator 3.2CuFt E1600 Orange",_x000D_
      "product_price": 279.99_x000D_
    },_x000D_
    "quantity": 1_x000D_
  },_x000D_
  {_x000D_
    "product": {_x000D_
      "product_name": "Contoso DVD 60 DVD Storage Binder L20 Silver",_x000D_
      "product_price": 22.89_x000D_
    },_x000D_
    "quantity": 3_x000D_
  }_x000D_
]</v>
      </c>
      <c r="H101" t="str">
        <f t="shared" si="4"/>
        <v>Fabrikam Microwave 1.0CuFt E1100 Black</v>
      </c>
      <c r="I101" s="4">
        <f t="shared" si="5"/>
        <v>3</v>
      </c>
      <c r="J101" s="3">
        <f t="shared" si="6"/>
        <v>139.99</v>
      </c>
      <c r="K101">
        <f t="shared" si="7"/>
        <v>419.97</v>
      </c>
    </row>
    <row r="102" spans="1:11" x14ac:dyDescent="0.3">
      <c r="A102">
        <v>101</v>
      </c>
      <c r="B102">
        <f>_xlfn.XMATCH(A102,sales_orders[acu_items],1)</f>
        <v>47</v>
      </c>
      <c r="C102" cm="1">
        <f t="array" ref="C102">A102-IF(B102=1,0,INDEX(sales_orders[acu_items],B102-1))</f>
        <v>3</v>
      </c>
      <c r="D102" cm="1">
        <f t="array" ref="D102">INDEX(sales_orders[order_number],B102)</f>
        <v>1487027</v>
      </c>
      <c r="E102" s="1" cm="1">
        <f t="array" ref="E102">INDEX(sales_orders[order_date],B102)</f>
        <v>43491</v>
      </c>
      <c r="F102" t="str" cm="1">
        <f t="array" ref="F102">INDEX(sales_orders[fulfillment],B102)</f>
        <v>In store</v>
      </c>
      <c r="G102" t="str" cm="1">
        <f t="array" ref="G102">INDEX(sales_orders[line_items],B102)</f>
        <v>[_x000D_
  {_x000D_
    "product": {_x000D_
      "product_name": "The Phone Company Smart phones Expert M400 Grey",_x000D_
      "product_price": 300_x000D_
    },_x000D_
    "quantity": 2_x000D_
  },_x000D_
  {_x000D_
    "product": {_x000D_
      "product_name": "Fabrikam Microwave 1.0CuFt E1100 Black",_x000D_
      "product_price": 139.99_x000D_
    },_x000D_
    "quantity": 3_x000D_
  },_x000D_
  {_x000D_
    "product": {_x000D_
      "product_name": "Fabrikam Refrigerator 3.2CuFt E1600 Orange",_x000D_
      "product_price": 279.99_x000D_
    },_x000D_
    "quantity": 1_x000D_
  },_x000D_
  {_x000D_
    "product": {_x000D_
      "product_name": "Contoso DVD 60 DVD Storage Binder L20 Silver",_x000D_
      "product_price": 22.89_x000D_
    },_x000D_
    "quantity": 3_x000D_
  }_x000D_
]</v>
      </c>
      <c r="H102" t="str">
        <f t="shared" si="4"/>
        <v>Fabrikam Refrigerator 3.2CuFt E1600 Orange</v>
      </c>
      <c r="I102" s="4">
        <f t="shared" si="5"/>
        <v>1</v>
      </c>
      <c r="J102" s="3">
        <f t="shared" si="6"/>
        <v>279.99</v>
      </c>
      <c r="K102">
        <f t="shared" si="7"/>
        <v>279.99</v>
      </c>
    </row>
    <row r="103" spans="1:11" x14ac:dyDescent="0.3">
      <c r="A103">
        <v>102</v>
      </c>
      <c r="B103">
        <f>_xlfn.XMATCH(A103,sales_orders[acu_items],1)</f>
        <v>47</v>
      </c>
      <c r="C103" cm="1">
        <f t="array" ref="C103">A103-IF(B103=1,0,INDEX(sales_orders[acu_items],B103-1))</f>
        <v>4</v>
      </c>
      <c r="D103" cm="1">
        <f t="array" ref="D103">INDEX(sales_orders[order_number],B103)</f>
        <v>1487027</v>
      </c>
      <c r="E103" s="1" cm="1">
        <f t="array" ref="E103">INDEX(sales_orders[order_date],B103)</f>
        <v>43491</v>
      </c>
      <c r="F103" t="str" cm="1">
        <f t="array" ref="F103">INDEX(sales_orders[fulfillment],B103)</f>
        <v>In store</v>
      </c>
      <c r="G103" t="str" cm="1">
        <f t="array" ref="G103">INDEX(sales_orders[line_items],B103)</f>
        <v>[_x000D_
  {_x000D_
    "product": {_x000D_
      "product_name": "The Phone Company Smart phones Expert M400 Grey",_x000D_
      "product_price": 300_x000D_
    },_x000D_
    "quantity": 2_x000D_
  },_x000D_
  {_x000D_
    "product": {_x000D_
      "product_name": "Fabrikam Microwave 1.0CuFt E1100 Black",_x000D_
      "product_price": 139.99_x000D_
    },_x000D_
    "quantity": 3_x000D_
  },_x000D_
  {_x000D_
    "product": {_x000D_
      "product_name": "Fabrikam Refrigerator 3.2CuFt E1600 Orange",_x000D_
      "product_price": 279.99_x000D_
    },_x000D_
    "quantity": 1_x000D_
  },_x000D_
  {_x000D_
    "product": {_x000D_
      "product_name": "Contoso DVD 60 DVD Storage Binder L20 Silver",_x000D_
      "product_price": 22.89_x000D_
    },_x000D_
    "quantity": 3_x000D_
  }_x000D_
]</v>
      </c>
      <c r="H103" t="str">
        <f t="shared" si="4"/>
        <v>Contoso DVD 60 DVD Storage Binder L20 Silver</v>
      </c>
      <c r="I103" s="4">
        <f t="shared" si="5"/>
        <v>3</v>
      </c>
      <c r="J103" s="3">
        <f t="shared" si="6"/>
        <v>22.89</v>
      </c>
      <c r="K103">
        <f t="shared" si="7"/>
        <v>68.67</v>
      </c>
    </row>
    <row r="104" spans="1:11" x14ac:dyDescent="0.3">
      <c r="A104">
        <v>103</v>
      </c>
      <c r="B104">
        <f>_xlfn.XMATCH(A104,sales_orders[acu_items],1)</f>
        <v>48</v>
      </c>
      <c r="C104" cm="1">
        <f t="array" ref="C104">A104-IF(B104=1,0,INDEX(sales_orders[acu_items],B104-1))</f>
        <v>1</v>
      </c>
      <c r="D104" cm="1">
        <f t="array" ref="D104">INDEX(sales_orders[order_number],B104)</f>
        <v>1492017</v>
      </c>
      <c r="E104" s="1" cm="1">
        <f t="array" ref="E104">INDEX(sales_orders[order_date],B104)</f>
        <v>43496</v>
      </c>
      <c r="F104" t="str" cm="1">
        <f t="array" ref="F104">INDEX(sales_orders[fulfillment],B104)</f>
        <v>In store</v>
      </c>
      <c r="G104" t="str" cm="1">
        <f t="array" ref="G104">INDEX(sales_orders[line_items],B104)</f>
        <v>[_x000D_
  {_x000D_
    "product": {_x000D_
      "product_name": "The Phone Company Touch Screen Phones 4-Wire/ Built-in M205 Black",_x000D_
      "product_price": 268_x000D_
    },_x000D_
    "quantity": 2_x000D_
  },_x000D_
  {_x000D_
    "product": {_x000D_
      "product_name": "MGS Gears of War 2008 M450",_x000D_
      "product_price": 34_x000D_
    },_x000D_
    "quantity": 4_x000D_
  },_x000D_
  {_x000D_
    "product": {_x000D_
      "product_name": "Contoso Water Heater 4.3GPM M1250 Yellow",_x000D_
      "product_price": 877.5_x000D_
    },_x000D_
    "quantity": 6_x000D_
  }_x000D_
]</v>
      </c>
      <c r="H104" t="str">
        <f t="shared" si="4"/>
        <v>The Phone Company Touch Screen Phones 4-Wire/ Built-in M205 Black</v>
      </c>
      <c r="I104" s="4">
        <f t="shared" si="5"/>
        <v>2</v>
      </c>
      <c r="J104" s="3">
        <f t="shared" si="6"/>
        <v>268</v>
      </c>
      <c r="K104">
        <f t="shared" si="7"/>
        <v>536</v>
      </c>
    </row>
    <row r="105" spans="1:11" x14ac:dyDescent="0.3">
      <c r="A105">
        <v>104</v>
      </c>
      <c r="B105">
        <f>_xlfn.XMATCH(A105,sales_orders[acu_items],1)</f>
        <v>48</v>
      </c>
      <c r="C105" cm="1">
        <f t="array" ref="C105">A105-IF(B105=1,0,INDEX(sales_orders[acu_items],B105-1))</f>
        <v>2</v>
      </c>
      <c r="D105" cm="1">
        <f t="array" ref="D105">INDEX(sales_orders[order_number],B105)</f>
        <v>1492017</v>
      </c>
      <c r="E105" s="1" cm="1">
        <f t="array" ref="E105">INDEX(sales_orders[order_date],B105)</f>
        <v>43496</v>
      </c>
      <c r="F105" t="str" cm="1">
        <f t="array" ref="F105">INDEX(sales_orders[fulfillment],B105)</f>
        <v>In store</v>
      </c>
      <c r="G105" t="str" cm="1">
        <f t="array" ref="G105">INDEX(sales_orders[line_items],B105)</f>
        <v>[_x000D_
  {_x000D_
    "product": {_x000D_
      "product_name": "The Phone Company Touch Screen Phones 4-Wire/ Built-in M205 Black",_x000D_
      "product_price": 268_x000D_
    },_x000D_
    "quantity": 2_x000D_
  },_x000D_
  {_x000D_
    "product": {_x000D_
      "product_name": "MGS Gears of War 2008 M450",_x000D_
      "product_price": 34_x000D_
    },_x000D_
    "quantity": 4_x000D_
  },_x000D_
  {_x000D_
    "product": {_x000D_
      "product_name": "Contoso Water Heater 4.3GPM M1250 Yellow",_x000D_
      "product_price": 877.5_x000D_
    },_x000D_
    "quantity": 6_x000D_
  }_x000D_
]</v>
      </c>
      <c r="H105" t="str">
        <f t="shared" si="4"/>
        <v>MGS Gears of War 2008 M450</v>
      </c>
      <c r="I105" s="4">
        <f t="shared" si="5"/>
        <v>4</v>
      </c>
      <c r="J105" s="3">
        <f t="shared" si="6"/>
        <v>34</v>
      </c>
      <c r="K105">
        <f t="shared" si="7"/>
        <v>136</v>
      </c>
    </row>
    <row r="106" spans="1:11" x14ac:dyDescent="0.3">
      <c r="A106">
        <v>105</v>
      </c>
      <c r="B106">
        <f>_xlfn.XMATCH(A106,sales_orders[acu_items],1)</f>
        <v>48</v>
      </c>
      <c r="C106" cm="1">
        <f t="array" ref="C106">A106-IF(B106=1,0,INDEX(sales_orders[acu_items],B106-1))</f>
        <v>3</v>
      </c>
      <c r="D106" cm="1">
        <f t="array" ref="D106">INDEX(sales_orders[order_number],B106)</f>
        <v>1492017</v>
      </c>
      <c r="E106" s="1" cm="1">
        <f t="array" ref="E106">INDEX(sales_orders[order_date],B106)</f>
        <v>43496</v>
      </c>
      <c r="F106" t="str" cm="1">
        <f t="array" ref="F106">INDEX(sales_orders[fulfillment],B106)</f>
        <v>In store</v>
      </c>
      <c r="G106" t="str" cm="1">
        <f t="array" ref="G106">INDEX(sales_orders[line_items],B106)</f>
        <v>[_x000D_
  {_x000D_
    "product": {_x000D_
      "product_name": "The Phone Company Touch Screen Phones 4-Wire/ Built-in M205 Black",_x000D_
      "product_price": 268_x000D_
    },_x000D_
    "quantity": 2_x000D_
  },_x000D_
  {_x000D_
    "product": {_x000D_
      "product_name": "MGS Gears of War 2008 M450",_x000D_
      "product_price": 34_x000D_
    },_x000D_
    "quantity": 4_x000D_
  },_x000D_
  {_x000D_
    "product": {_x000D_
      "product_name": "Contoso Water Heater 4.3GPM M1250 Yellow",_x000D_
      "product_price": 877.5_x000D_
    },_x000D_
    "quantity": 6_x000D_
  }_x000D_
]</v>
      </c>
      <c r="H106" t="str">
        <f t="shared" si="4"/>
        <v>Contoso Water Heater 4.3GPM M1250 Yellow</v>
      </c>
      <c r="I106" s="4">
        <f t="shared" si="5"/>
        <v>6</v>
      </c>
      <c r="J106" s="3">
        <f t="shared" si="6"/>
        <v>877.5</v>
      </c>
      <c r="K106">
        <f t="shared" si="7"/>
        <v>5265</v>
      </c>
    </row>
    <row r="107" spans="1:11" x14ac:dyDescent="0.3">
      <c r="A107">
        <v>106</v>
      </c>
      <c r="B107">
        <f>_xlfn.XMATCH(A107,sales_orders[acu_items],1)</f>
        <v>49</v>
      </c>
      <c r="C107" cm="1">
        <f t="array" ref="C107">A107-IF(B107=1,0,INDEX(sales_orders[acu_items],B107-1))</f>
        <v>1</v>
      </c>
      <c r="D107" cm="1">
        <f t="array" ref="D107">INDEX(sales_orders[order_number],B107)</f>
        <v>1501025</v>
      </c>
      <c r="E107" s="1" cm="1">
        <f t="array" ref="E107">INDEX(sales_orders[order_date],B107)</f>
        <v>43505</v>
      </c>
      <c r="F107" t="str" cm="1">
        <f t="array" ref="F107">INDEX(sales_orders[fulfillment],B107)</f>
        <v>In store</v>
      </c>
      <c r="G107" t="str" cm="1">
        <f t="array" ref="G107">INDEX(sales_orders[line_items],B107)</f>
        <v>[_x000D_
  {_x000D_
    "product": {_x000D_
      "product_name": "A. Datum SLR Camera X140 Pink",_x000D_
      "product_price": 627_x000D_
    },_x000D_
    "quantity": 3_x000D_
  },_x000D_
  {_x000D_
    "product": {_x000D_
      "product_name": "Contoso DVD 60 DVD Storage Binder L20 Red",_x000D_
      "product_price": 22.89_x000D_
    },_x000D_
    "quantity": 2_x000D_
  },_x000D_
  {_x000D_
    "product": {_x000D_
      "product_name": "Proseware Photo Inkjet Printer E290 Black",_x000D_
      "product_price": 102_x000D_
    },_x000D_
    "quantity": 4_x000D_
  },_x000D_
  {_x000D_
    "product": {_x000D_
      "product_name": "Contoso Water Heater 4.0GPM M1250 Grey",_x000D_
      "product_price": 791_x000D_
    },_x000D_
    "quantity": 2_x000D_
  }_x000D_
]</v>
      </c>
      <c r="H107" t="str">
        <f t="shared" si="4"/>
        <v>A. Datum SLR Camera X140 Pink</v>
      </c>
      <c r="I107" s="4">
        <f t="shared" si="5"/>
        <v>3</v>
      </c>
      <c r="J107" s="3">
        <f t="shared" si="6"/>
        <v>627</v>
      </c>
      <c r="K107">
        <f t="shared" si="7"/>
        <v>1881</v>
      </c>
    </row>
    <row r="108" spans="1:11" x14ac:dyDescent="0.3">
      <c r="A108">
        <v>107</v>
      </c>
      <c r="B108">
        <f>_xlfn.XMATCH(A108,sales_orders[acu_items],1)</f>
        <v>49</v>
      </c>
      <c r="C108" cm="1">
        <f t="array" ref="C108">A108-IF(B108=1,0,INDEX(sales_orders[acu_items],B108-1))</f>
        <v>2</v>
      </c>
      <c r="D108" cm="1">
        <f t="array" ref="D108">INDEX(sales_orders[order_number],B108)</f>
        <v>1501025</v>
      </c>
      <c r="E108" s="1" cm="1">
        <f t="array" ref="E108">INDEX(sales_orders[order_date],B108)</f>
        <v>43505</v>
      </c>
      <c r="F108" t="str" cm="1">
        <f t="array" ref="F108">INDEX(sales_orders[fulfillment],B108)</f>
        <v>In store</v>
      </c>
      <c r="G108" t="str" cm="1">
        <f t="array" ref="G108">INDEX(sales_orders[line_items],B108)</f>
        <v>[_x000D_
  {_x000D_
    "product": {_x000D_
      "product_name": "A. Datum SLR Camera X140 Pink",_x000D_
      "product_price": 627_x000D_
    },_x000D_
    "quantity": 3_x000D_
  },_x000D_
  {_x000D_
    "product": {_x000D_
      "product_name": "Contoso DVD 60 DVD Storage Binder L20 Red",_x000D_
      "product_price": 22.89_x000D_
    },_x000D_
    "quantity": 2_x000D_
  },_x000D_
  {_x000D_
    "product": {_x000D_
      "product_name": "Proseware Photo Inkjet Printer E290 Black",_x000D_
      "product_price": 102_x000D_
    },_x000D_
    "quantity": 4_x000D_
  },_x000D_
  {_x000D_
    "product": {_x000D_
      "product_name": "Contoso Water Heater 4.0GPM M1250 Grey",_x000D_
      "product_price": 791_x000D_
    },_x000D_
    "quantity": 2_x000D_
  }_x000D_
]</v>
      </c>
      <c r="H108" t="str">
        <f t="shared" si="4"/>
        <v>Contoso DVD 60 DVD Storage Binder L20 Red</v>
      </c>
      <c r="I108" s="4">
        <f t="shared" si="5"/>
        <v>2</v>
      </c>
      <c r="J108" s="3">
        <f t="shared" si="6"/>
        <v>22.89</v>
      </c>
      <c r="K108">
        <f t="shared" si="7"/>
        <v>45.78</v>
      </c>
    </row>
    <row r="109" spans="1:11" x14ac:dyDescent="0.3">
      <c r="A109">
        <v>108</v>
      </c>
      <c r="B109">
        <f>_xlfn.XMATCH(A109,sales_orders[acu_items],1)</f>
        <v>49</v>
      </c>
      <c r="C109" cm="1">
        <f t="array" ref="C109">A109-IF(B109=1,0,INDEX(sales_orders[acu_items],B109-1))</f>
        <v>3</v>
      </c>
      <c r="D109" cm="1">
        <f t="array" ref="D109">INDEX(sales_orders[order_number],B109)</f>
        <v>1501025</v>
      </c>
      <c r="E109" s="1" cm="1">
        <f t="array" ref="E109">INDEX(sales_orders[order_date],B109)</f>
        <v>43505</v>
      </c>
      <c r="F109" t="str" cm="1">
        <f t="array" ref="F109">INDEX(sales_orders[fulfillment],B109)</f>
        <v>In store</v>
      </c>
      <c r="G109" t="str" cm="1">
        <f t="array" ref="G109">INDEX(sales_orders[line_items],B109)</f>
        <v>[_x000D_
  {_x000D_
    "product": {_x000D_
      "product_name": "A. Datum SLR Camera X140 Pink",_x000D_
      "product_price": 627_x000D_
    },_x000D_
    "quantity": 3_x000D_
  },_x000D_
  {_x000D_
    "product": {_x000D_
      "product_name": "Contoso DVD 60 DVD Storage Binder L20 Red",_x000D_
      "product_price": 22.89_x000D_
    },_x000D_
    "quantity": 2_x000D_
  },_x000D_
  {_x000D_
    "product": {_x000D_
      "product_name": "Proseware Photo Inkjet Printer E290 Black",_x000D_
      "product_price": 102_x000D_
    },_x000D_
    "quantity": 4_x000D_
  },_x000D_
  {_x000D_
    "product": {_x000D_
      "product_name": "Contoso Water Heater 4.0GPM M1250 Grey",_x000D_
      "product_price": 791_x000D_
    },_x000D_
    "quantity": 2_x000D_
  }_x000D_
]</v>
      </c>
      <c r="H109" t="str">
        <f t="shared" si="4"/>
        <v>Proseware Photo Inkjet Printer E290 Black</v>
      </c>
      <c r="I109" s="4">
        <f t="shared" si="5"/>
        <v>4</v>
      </c>
      <c r="J109" s="3">
        <f t="shared" si="6"/>
        <v>102</v>
      </c>
      <c r="K109">
        <f t="shared" si="7"/>
        <v>408</v>
      </c>
    </row>
    <row r="110" spans="1:11" x14ac:dyDescent="0.3">
      <c r="A110">
        <v>109</v>
      </c>
      <c r="B110">
        <f>_xlfn.XMATCH(A110,sales_orders[acu_items],1)</f>
        <v>49</v>
      </c>
      <c r="C110" cm="1">
        <f t="array" ref="C110">A110-IF(B110=1,0,INDEX(sales_orders[acu_items],B110-1))</f>
        <v>4</v>
      </c>
      <c r="D110" cm="1">
        <f t="array" ref="D110">INDEX(sales_orders[order_number],B110)</f>
        <v>1501025</v>
      </c>
      <c r="E110" s="1" cm="1">
        <f t="array" ref="E110">INDEX(sales_orders[order_date],B110)</f>
        <v>43505</v>
      </c>
      <c r="F110" t="str" cm="1">
        <f t="array" ref="F110">INDEX(sales_orders[fulfillment],B110)</f>
        <v>In store</v>
      </c>
      <c r="G110" t="str" cm="1">
        <f t="array" ref="G110">INDEX(sales_orders[line_items],B110)</f>
        <v>[_x000D_
  {_x000D_
    "product": {_x000D_
      "product_name": "A. Datum SLR Camera X140 Pink",_x000D_
      "product_price": 627_x000D_
    },_x000D_
    "quantity": 3_x000D_
  },_x000D_
  {_x000D_
    "product": {_x000D_
      "product_name": "Contoso DVD 60 DVD Storage Binder L20 Red",_x000D_
      "product_price": 22.89_x000D_
    },_x000D_
    "quantity": 2_x000D_
  },_x000D_
  {_x000D_
    "product": {_x000D_
      "product_name": "Proseware Photo Inkjet Printer E290 Black",_x000D_
      "product_price": 102_x000D_
    },_x000D_
    "quantity": 4_x000D_
  },_x000D_
  {_x000D_
    "product": {_x000D_
      "product_name": "Contoso Water Heater 4.0GPM M1250 Grey",_x000D_
      "product_price": 791_x000D_
    },_x000D_
    "quantity": 2_x000D_
  }_x000D_
]</v>
      </c>
      <c r="H110" t="str">
        <f t="shared" si="4"/>
        <v>Contoso Water Heater 4.0GPM M1250 Grey</v>
      </c>
      <c r="I110" s="4">
        <f t="shared" si="5"/>
        <v>2</v>
      </c>
      <c r="J110" s="3">
        <f t="shared" si="6"/>
        <v>791</v>
      </c>
      <c r="K110">
        <f t="shared" si="7"/>
        <v>1582</v>
      </c>
    </row>
    <row r="111" spans="1:11" x14ac:dyDescent="0.3">
      <c r="A111">
        <v>110</v>
      </c>
      <c r="B111">
        <f>_xlfn.XMATCH(A111,sales_orders[acu_items],1)</f>
        <v>50</v>
      </c>
      <c r="C111" cm="1">
        <f t="array" ref="C111">A111-IF(B111=1,0,INDEX(sales_orders[acu_items],B111-1))</f>
        <v>1</v>
      </c>
      <c r="D111" cm="1">
        <f t="array" ref="D111">INDEX(sales_orders[order_number],B111)</f>
        <v>1504008</v>
      </c>
      <c r="E111" s="1" cm="1">
        <f t="array" ref="E111">INDEX(sales_orders[order_date],B111)</f>
        <v>43508</v>
      </c>
      <c r="F111" t="str" cm="1">
        <f t="array" ref="F111">INDEX(sales_orders[fulfillment],B111)</f>
        <v>In store</v>
      </c>
      <c r="G111" t="str" cm="1">
        <f t="array" ref="G111">INDEX(sales_orders[line_items],B111)</f>
        <v>[_x000D_
  {_x000D_
    "product": {_x000D_
      "product_name": "The Phone Company Finger Touch Screen Phones M30 Gold",_x000D_
      "product_price": 199_x000D_
    },_x000D_
    "quantity": 5_x000D_
  },_x000D_
  {_x000D_
    "product": {_x000D_
      "product_name": "NT Bluetooth Active Headphones E202 Red",_x000D_
      "product_price": 37.95_x000D_
    },_x000D_
    "quantity": 8_x000D_
  },_x000D_
  {_x000D_
    "product": {_x000D_
      "product_name": "WWI Desktop PC1.80 E1801 Brown",_x000D_
      "product_price": 269.9_x000D_
    },_x000D_
    "quantity": 1_x000D_
  }_x000D_
]</v>
      </c>
      <c r="H111" t="str">
        <f t="shared" si="4"/>
        <v>The Phone Company Finger Touch Screen Phones M30 Gold</v>
      </c>
      <c r="I111" s="4">
        <f t="shared" si="5"/>
        <v>5</v>
      </c>
      <c r="J111" s="3">
        <f t="shared" si="6"/>
        <v>199</v>
      </c>
      <c r="K111">
        <f t="shared" si="7"/>
        <v>995</v>
      </c>
    </row>
    <row r="112" spans="1:11" x14ac:dyDescent="0.3">
      <c r="A112">
        <v>111</v>
      </c>
      <c r="B112">
        <f>_xlfn.XMATCH(A112,sales_orders[acu_items],1)</f>
        <v>50</v>
      </c>
      <c r="C112" cm="1">
        <f t="array" ref="C112">A112-IF(B112=1,0,INDEX(sales_orders[acu_items],B112-1))</f>
        <v>2</v>
      </c>
      <c r="D112" cm="1">
        <f t="array" ref="D112">INDEX(sales_orders[order_number],B112)</f>
        <v>1504008</v>
      </c>
      <c r="E112" s="1" cm="1">
        <f t="array" ref="E112">INDEX(sales_orders[order_date],B112)</f>
        <v>43508</v>
      </c>
      <c r="F112" t="str" cm="1">
        <f t="array" ref="F112">INDEX(sales_orders[fulfillment],B112)</f>
        <v>In store</v>
      </c>
      <c r="G112" t="str" cm="1">
        <f t="array" ref="G112">INDEX(sales_orders[line_items],B112)</f>
        <v>[_x000D_
  {_x000D_
    "product": {_x000D_
      "product_name": "The Phone Company Finger Touch Screen Phones M30 Gold",_x000D_
      "product_price": 199_x000D_
    },_x000D_
    "quantity": 5_x000D_
  },_x000D_
  {_x000D_
    "product": {_x000D_
      "product_name": "NT Bluetooth Active Headphones E202 Red",_x000D_
      "product_price": 37.95_x000D_
    },_x000D_
    "quantity": 8_x000D_
  },_x000D_
  {_x000D_
    "product": {_x000D_
      "product_name": "WWI Desktop PC1.80 E1801 Brown",_x000D_
      "product_price": 269.9_x000D_
    },_x000D_
    "quantity": 1_x000D_
  }_x000D_
]</v>
      </c>
      <c r="H112" t="str">
        <f t="shared" si="4"/>
        <v>NT Bluetooth Active Headphones E202 Red</v>
      </c>
      <c r="I112" s="4">
        <f t="shared" si="5"/>
        <v>8</v>
      </c>
      <c r="J112" s="3">
        <f t="shared" si="6"/>
        <v>37.950000000000003</v>
      </c>
      <c r="K112">
        <f t="shared" si="7"/>
        <v>303.60000000000002</v>
      </c>
    </row>
    <row r="113" spans="1:11" x14ac:dyDescent="0.3">
      <c r="A113">
        <v>112</v>
      </c>
      <c r="B113">
        <f>_xlfn.XMATCH(A113,sales_orders[acu_items],1)</f>
        <v>50</v>
      </c>
      <c r="C113" cm="1">
        <f t="array" ref="C113">A113-IF(B113=1,0,INDEX(sales_orders[acu_items],B113-1))</f>
        <v>3</v>
      </c>
      <c r="D113" cm="1">
        <f t="array" ref="D113">INDEX(sales_orders[order_number],B113)</f>
        <v>1504008</v>
      </c>
      <c r="E113" s="1" cm="1">
        <f t="array" ref="E113">INDEX(sales_orders[order_date],B113)</f>
        <v>43508</v>
      </c>
      <c r="F113" t="str" cm="1">
        <f t="array" ref="F113">INDEX(sales_orders[fulfillment],B113)</f>
        <v>In store</v>
      </c>
      <c r="G113" t="str" cm="1">
        <f t="array" ref="G113">INDEX(sales_orders[line_items],B113)</f>
        <v>[_x000D_
  {_x000D_
    "product": {_x000D_
      "product_name": "The Phone Company Finger Touch Screen Phones M30 Gold",_x000D_
      "product_price": 199_x000D_
    },_x000D_
    "quantity": 5_x000D_
  },_x000D_
  {_x000D_
    "product": {_x000D_
      "product_name": "NT Bluetooth Active Headphones E202 Red",_x000D_
      "product_price": 37.95_x000D_
    },_x000D_
    "quantity": 8_x000D_
  },_x000D_
  {_x000D_
    "product": {_x000D_
      "product_name": "WWI Desktop PC1.80 E1801 Brown",_x000D_
      "product_price": 269.9_x000D_
    },_x000D_
    "quantity": 1_x000D_
  }_x000D_
]</v>
      </c>
      <c r="H113" t="str">
        <f t="shared" si="4"/>
        <v>WWI Desktop PC1.80 E1801 Brown</v>
      </c>
      <c r="I113" s="4">
        <f t="shared" si="5"/>
        <v>1</v>
      </c>
      <c r="J113" s="3">
        <f t="shared" si="6"/>
        <v>269.89999999999998</v>
      </c>
      <c r="K113">
        <f t="shared" si="7"/>
        <v>269.89999999999998</v>
      </c>
    </row>
    <row r="114" spans="1:11" x14ac:dyDescent="0.3">
      <c r="A114">
        <v>113</v>
      </c>
      <c r="B114">
        <f>_xlfn.XMATCH(A114,sales_orders[acu_items],1)</f>
        <v>51</v>
      </c>
      <c r="C114" cm="1">
        <f t="array" ref="C114">A114-IF(B114=1,0,INDEX(sales_orders[acu_items],B114-1))</f>
        <v>1</v>
      </c>
      <c r="D114" cm="1">
        <f t="array" ref="D114">INDEX(sales_orders[order_number],B114)</f>
        <v>1519031</v>
      </c>
      <c r="E114" s="1" cm="1">
        <f t="array" ref="E114">INDEX(sales_orders[order_date],B114)</f>
        <v>43523</v>
      </c>
      <c r="F114" t="str" cm="1">
        <f t="array" ref="F114">INDEX(sales_orders[fulfillment],B114)</f>
        <v>In store</v>
      </c>
      <c r="G114" t="str" cm="1">
        <f t="array" ref="G114">INDEX(sales_orders[line_items],B114)</f>
        <v>[_x000D_
  {_x000D_
    "product": {_x000D_
      "product_name": "Contoso DVD 15-Inch Player Portable L200 White",_x000D_
      "product_price": 289.99_x000D_
    },_x000D_
    "quantity": 1_x000D_
  }_x000D_
]</v>
      </c>
      <c r="H114" t="str">
        <f t="shared" si="4"/>
        <v>Contoso DVD 15-Inch Player Portable L200 White</v>
      </c>
      <c r="I114" s="4">
        <f t="shared" si="5"/>
        <v>1</v>
      </c>
      <c r="J114" s="3">
        <f t="shared" si="6"/>
        <v>289.99</v>
      </c>
      <c r="K114">
        <f t="shared" si="7"/>
        <v>289.99</v>
      </c>
    </row>
    <row r="115" spans="1:11" x14ac:dyDescent="0.3">
      <c r="A115">
        <v>114</v>
      </c>
      <c r="B115">
        <f>_xlfn.XMATCH(A115,sales_orders[acu_items],1)</f>
        <v>52</v>
      </c>
      <c r="C115" cm="1">
        <f t="array" ref="C115">A115-IF(B115=1,0,INDEX(sales_orders[acu_items],B115-1))</f>
        <v>1</v>
      </c>
      <c r="D115" cm="1">
        <f t="array" ref="D115">INDEX(sales_orders[order_number],B115)</f>
        <v>1528014</v>
      </c>
      <c r="E115" s="1" cm="1">
        <f t="array" ref="E115">INDEX(sales_orders[order_date],B115)</f>
        <v>43532</v>
      </c>
      <c r="F115" t="str" cm="1">
        <f t="array" ref="F115">INDEX(sales_orders[fulfillment],B115)</f>
        <v>In store</v>
      </c>
      <c r="G115" t="str" cm="1">
        <f t="array" ref="G115">INDEX(sales_orders[line_items],B115)</f>
        <v>[_x000D_
  {_x000D_
    "product": {_x000D_
      "product_name": "MGS Age of Empires II: The Age of Kings E126",_x000D_
      "product_price": 46.8_x000D_
    },_x000D_
    "quantity": 2_x000D_
  },_x000D_
  {_x000D_
    "product": {_x000D_
      "product_name": "SV DVD 48 DVD Storage Binder M50 Silver",_x000D_
      "product_price": 17.99_x000D_
    },_x000D_
    "quantity": 3_x000D_
  }_x000D_
]</v>
      </c>
      <c r="H115" t="str">
        <f t="shared" si="4"/>
        <v>MGS Age of Empires II: The Age of Kings E126</v>
      </c>
      <c r="I115" s="4">
        <f t="shared" si="5"/>
        <v>2</v>
      </c>
      <c r="J115" s="3">
        <f t="shared" si="6"/>
        <v>46.8</v>
      </c>
      <c r="K115">
        <f t="shared" si="7"/>
        <v>93.6</v>
      </c>
    </row>
    <row r="116" spans="1:11" x14ac:dyDescent="0.3">
      <c r="A116">
        <v>115</v>
      </c>
      <c r="B116">
        <f>_xlfn.XMATCH(A116,sales_orders[acu_items],1)</f>
        <v>52</v>
      </c>
      <c r="C116" cm="1">
        <f t="array" ref="C116">A116-IF(B116=1,0,INDEX(sales_orders[acu_items],B116-1))</f>
        <v>2</v>
      </c>
      <c r="D116" cm="1">
        <f t="array" ref="D116">INDEX(sales_orders[order_number],B116)</f>
        <v>1528014</v>
      </c>
      <c r="E116" s="1" cm="1">
        <f t="array" ref="E116">INDEX(sales_orders[order_date],B116)</f>
        <v>43532</v>
      </c>
      <c r="F116" t="str" cm="1">
        <f t="array" ref="F116">INDEX(sales_orders[fulfillment],B116)</f>
        <v>In store</v>
      </c>
      <c r="G116" t="str" cm="1">
        <f t="array" ref="G116">INDEX(sales_orders[line_items],B116)</f>
        <v>[_x000D_
  {_x000D_
    "product": {_x000D_
      "product_name": "MGS Age of Empires II: The Age of Kings E126",_x000D_
      "product_price": 46.8_x000D_
    },_x000D_
    "quantity": 2_x000D_
  },_x000D_
  {_x000D_
    "product": {_x000D_
      "product_name": "SV DVD 48 DVD Storage Binder M50 Silver",_x000D_
      "product_price": 17.99_x000D_
    },_x000D_
    "quantity": 3_x000D_
  }_x000D_
]</v>
      </c>
      <c r="H116" t="str">
        <f t="shared" si="4"/>
        <v>SV DVD 48 DVD Storage Binder M50 Silver</v>
      </c>
      <c r="I116" s="4">
        <f t="shared" si="5"/>
        <v>3</v>
      </c>
      <c r="J116" s="3">
        <f t="shared" si="6"/>
        <v>17.989999999999998</v>
      </c>
      <c r="K116">
        <f t="shared" si="7"/>
        <v>53.97</v>
      </c>
    </row>
    <row r="117" spans="1:11" x14ac:dyDescent="0.3">
      <c r="A117">
        <v>116</v>
      </c>
      <c r="B117">
        <f>_xlfn.XMATCH(A117,sales_orders[acu_items],1)</f>
        <v>53</v>
      </c>
      <c r="C117" cm="1">
        <f t="array" ref="C117">A117-IF(B117=1,0,INDEX(sales_orders[acu_items],B117-1))</f>
        <v>1</v>
      </c>
      <c r="D117" cm="1">
        <f t="array" ref="D117">INDEX(sales_orders[order_number],B117)</f>
        <v>1587003</v>
      </c>
      <c r="E117" s="1" cm="1">
        <f t="array" ref="E117">INDEX(sales_orders[order_date],B117)</f>
        <v>43591</v>
      </c>
      <c r="F117" t="str" cm="1">
        <f t="array" ref="F117">INDEX(sales_orders[fulfillment],B117)</f>
        <v>In store</v>
      </c>
      <c r="G117" t="str" cm="1">
        <f t="array" ref="G117">INDEX(sales_orders[line_items],B117)</f>
        <v>[_x000D_
  {_x000D_
    "product": {_x000D_
      "product_name": "MGS Flight Simulator X M250",_x000D_
      "product_price": 70.13_x000D_
    },_x000D_
    "quantity": 1_x000D_
  }_x000D_
]</v>
      </c>
      <c r="H117" t="str">
        <f t="shared" si="4"/>
        <v>MGS Flight Simulator X M250</v>
      </c>
      <c r="I117" s="4">
        <f t="shared" si="5"/>
        <v>1</v>
      </c>
      <c r="J117" s="3">
        <f t="shared" si="6"/>
        <v>70.13</v>
      </c>
      <c r="K117">
        <f t="shared" si="7"/>
        <v>70.13</v>
      </c>
    </row>
    <row r="118" spans="1:11" x14ac:dyDescent="0.3">
      <c r="A118">
        <v>117</v>
      </c>
      <c r="B118">
        <f>_xlfn.XMATCH(A118,sales_orders[acu_items],1)</f>
        <v>54</v>
      </c>
      <c r="C118" cm="1">
        <f t="array" ref="C118">A118-IF(B118=1,0,INDEX(sales_orders[acu_items],B118-1))</f>
        <v>1</v>
      </c>
      <c r="D118" cm="1">
        <f t="array" ref="D118">INDEX(sales_orders[order_number],B118)</f>
        <v>1599043</v>
      </c>
      <c r="E118" s="1" cm="1">
        <f t="array" ref="E118">INDEX(sales_orders[order_date],B118)</f>
        <v>43603</v>
      </c>
      <c r="F118" t="str" cm="1">
        <f t="array" ref="F118">INDEX(sales_orders[fulfillment],B118)</f>
        <v>In store</v>
      </c>
      <c r="G118" t="str" cm="1">
        <f t="array" ref="G118">INDEX(sales_orders[line_items],B118)</f>
        <v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v>
      </c>
      <c r="H118" t="str">
        <f t="shared" si="4"/>
        <v>WWI LCD22W M2003 Black</v>
      </c>
      <c r="I118" s="4">
        <f t="shared" si="5"/>
        <v>1</v>
      </c>
      <c r="J118" s="3">
        <f t="shared" si="6"/>
        <v>679</v>
      </c>
      <c r="K118">
        <f t="shared" si="7"/>
        <v>679</v>
      </c>
    </row>
    <row r="119" spans="1:11" x14ac:dyDescent="0.3">
      <c r="A119">
        <v>118</v>
      </c>
      <c r="B119">
        <f>_xlfn.XMATCH(A119,sales_orders[acu_items],1)</f>
        <v>54</v>
      </c>
      <c r="C119" cm="1">
        <f t="array" ref="C119">A119-IF(B119=1,0,INDEX(sales_orders[acu_items],B119-1))</f>
        <v>2</v>
      </c>
      <c r="D119" cm="1">
        <f t="array" ref="D119">INDEX(sales_orders[order_number],B119)</f>
        <v>1599043</v>
      </c>
      <c r="E119" s="1" cm="1">
        <f t="array" ref="E119">INDEX(sales_orders[order_date],B119)</f>
        <v>43603</v>
      </c>
      <c r="F119" t="str" cm="1">
        <f t="array" ref="F119">INDEX(sales_orders[fulfillment],B119)</f>
        <v>In store</v>
      </c>
      <c r="G119" t="str" cm="1">
        <f t="array" ref="G119">INDEX(sales_orders[line_items],B119)</f>
        <v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v>
      </c>
      <c r="H119" t="str">
        <f t="shared" si="4"/>
        <v>Adventure Works Wall Lamp E3150 Black</v>
      </c>
      <c r="I119" s="4">
        <f t="shared" si="5"/>
        <v>8</v>
      </c>
      <c r="J119" s="3">
        <f t="shared" si="6"/>
        <v>101.99</v>
      </c>
      <c r="K119">
        <f t="shared" si="7"/>
        <v>815.92</v>
      </c>
    </row>
    <row r="120" spans="1:11" x14ac:dyDescent="0.3">
      <c r="A120">
        <v>119</v>
      </c>
      <c r="B120">
        <f>_xlfn.XMATCH(A120,sales_orders[acu_items],1)</f>
        <v>54</v>
      </c>
      <c r="C120" cm="1">
        <f t="array" ref="C120">A120-IF(B120=1,0,INDEX(sales_orders[acu_items],B120-1))</f>
        <v>3</v>
      </c>
      <c r="D120" cm="1">
        <f t="array" ref="D120">INDEX(sales_orders[order_number],B120)</f>
        <v>1599043</v>
      </c>
      <c r="E120" s="1" cm="1">
        <f t="array" ref="E120">INDEX(sales_orders[order_date],B120)</f>
        <v>43603</v>
      </c>
      <c r="F120" t="str" cm="1">
        <f t="array" ref="F120">INDEX(sales_orders[fulfillment],B120)</f>
        <v>In store</v>
      </c>
      <c r="G120" t="str" cm="1">
        <f t="array" ref="G120">INDEX(sales_orders[line_items],B120)</f>
        <v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v>
      </c>
      <c r="H120" t="str">
        <f t="shared" si="4"/>
        <v>WWI Floor Lamp M215 Black</v>
      </c>
      <c r="I120" s="4">
        <f t="shared" si="5"/>
        <v>1</v>
      </c>
      <c r="J120" s="3">
        <f t="shared" si="6"/>
        <v>339</v>
      </c>
      <c r="K120">
        <f t="shared" si="7"/>
        <v>339</v>
      </c>
    </row>
    <row r="121" spans="1:11" x14ac:dyDescent="0.3">
      <c r="A121">
        <v>120</v>
      </c>
      <c r="B121">
        <f>_xlfn.XMATCH(A121,sales_orders[acu_items],1)</f>
        <v>54</v>
      </c>
      <c r="C121" cm="1">
        <f t="array" ref="C121">A121-IF(B121=1,0,INDEX(sales_orders[acu_items],B121-1))</f>
        <v>4</v>
      </c>
      <c r="D121" cm="1">
        <f t="array" ref="D121">INDEX(sales_orders[order_number],B121)</f>
        <v>1599043</v>
      </c>
      <c r="E121" s="1" cm="1">
        <f t="array" ref="E121">INDEX(sales_orders[order_date],B121)</f>
        <v>43603</v>
      </c>
      <c r="F121" t="str" cm="1">
        <f t="array" ref="F121">INDEX(sales_orders[fulfillment],B121)</f>
        <v>In store</v>
      </c>
      <c r="G121" t="str" cm="1">
        <f t="array" ref="G121">INDEX(sales_orders[line_items],B121)</f>
        <v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v>
      </c>
      <c r="H121" t="str">
        <f t="shared" si="4"/>
        <v>WWI Projector 720p DLP56 Silver</v>
      </c>
      <c r="I121" s="4">
        <f t="shared" si="5"/>
        <v>1</v>
      </c>
      <c r="J121" s="3">
        <f t="shared" si="6"/>
        <v>999</v>
      </c>
      <c r="K121">
        <f t="shared" si="7"/>
        <v>999</v>
      </c>
    </row>
    <row r="122" spans="1:11" x14ac:dyDescent="0.3">
      <c r="A122">
        <v>121</v>
      </c>
      <c r="B122">
        <f>_xlfn.XMATCH(A122,sales_orders[acu_items],1)</f>
        <v>54</v>
      </c>
      <c r="C122" cm="1">
        <f t="array" ref="C122">A122-IF(B122=1,0,INDEX(sales_orders[acu_items],B122-1))</f>
        <v>5</v>
      </c>
      <c r="D122" cm="1">
        <f t="array" ref="D122">INDEX(sales_orders[order_number],B122)</f>
        <v>1599043</v>
      </c>
      <c r="E122" s="1" cm="1">
        <f t="array" ref="E122">INDEX(sales_orders[order_date],B122)</f>
        <v>43603</v>
      </c>
      <c r="F122" t="str" cm="1">
        <f t="array" ref="F122">INDEX(sales_orders[fulfillment],B122)</f>
        <v>In store</v>
      </c>
      <c r="G122" t="str" cm="1">
        <f t="array" ref="G122">INDEX(sales_orders[line_items],B122)</f>
        <v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v>
      </c>
      <c r="H122" t="str">
        <f t="shared" si="4"/>
        <v>Adventure Works 52 LCD HDTV X590 Silver</v>
      </c>
      <c r="I122" s="4">
        <f t="shared" si="5"/>
        <v>4</v>
      </c>
      <c r="J122" s="3">
        <f t="shared" si="6"/>
        <v>2899.99</v>
      </c>
      <c r="K122">
        <f t="shared" si="7"/>
        <v>11599.96</v>
      </c>
    </row>
    <row r="123" spans="1:11" x14ac:dyDescent="0.3">
      <c r="A123">
        <v>122</v>
      </c>
      <c r="B123">
        <f>_xlfn.XMATCH(A123,sales_orders[acu_items],1)</f>
        <v>55</v>
      </c>
      <c r="C123" cm="1">
        <f t="array" ref="C123">A123-IF(B123=1,0,INDEX(sales_orders[acu_items],B123-1))</f>
        <v>1</v>
      </c>
      <c r="D123" cm="1">
        <f t="array" ref="D123">INDEX(sales_orders[order_number],B123)</f>
        <v>1618024</v>
      </c>
      <c r="E123" s="1" cm="1">
        <f t="array" ref="E123">INDEX(sales_orders[order_date],B123)</f>
        <v>43622</v>
      </c>
      <c r="F123" t="str" cm="1">
        <f t="array" ref="F123">INDEX(sales_orders[fulfillment],B123)</f>
        <v>In store</v>
      </c>
      <c r="G123" t="str" cm="1">
        <f t="array" ref="G123">INDEX(sales_orders[line_items],B123)</f>
        <v>[_x000D_
  {_x000D_
    "product": {_x000D_
      "product_name": "Contoso Expandable 2-Handset Cordless Phone System M205 White",_x000D_
      "product_price": 40.19_x000D_
    },_x000D_
    "quantity": 2_x000D_
  },_x000D_
  {_x000D_
    "product": {_x000D_
      "product_name": "The Phone Company Touch Screen Phones 4-Wire/On-wall M302 Gold",_x000D_
      "product_price": 289_x000D_
    },_x000D_
    "quantity": 1_x000D_
  }_x000D_
]</v>
      </c>
      <c r="H123" t="str">
        <f t="shared" si="4"/>
        <v>Contoso Expandable 2-Handset Cordless Phone System M205 White</v>
      </c>
      <c r="I123" s="4">
        <f t="shared" si="5"/>
        <v>2</v>
      </c>
      <c r="J123" s="3">
        <f t="shared" si="6"/>
        <v>40.19</v>
      </c>
      <c r="K123">
        <f t="shared" si="7"/>
        <v>80.38</v>
      </c>
    </row>
    <row r="124" spans="1:11" x14ac:dyDescent="0.3">
      <c r="A124">
        <v>123</v>
      </c>
      <c r="B124">
        <f>_xlfn.XMATCH(A124,sales_orders[acu_items],1)</f>
        <v>55</v>
      </c>
      <c r="C124" cm="1">
        <f t="array" ref="C124">A124-IF(B124=1,0,INDEX(sales_orders[acu_items],B124-1))</f>
        <v>2</v>
      </c>
      <c r="D124" cm="1">
        <f t="array" ref="D124">INDEX(sales_orders[order_number],B124)</f>
        <v>1618024</v>
      </c>
      <c r="E124" s="1" cm="1">
        <f t="array" ref="E124">INDEX(sales_orders[order_date],B124)</f>
        <v>43622</v>
      </c>
      <c r="F124" t="str" cm="1">
        <f t="array" ref="F124">INDEX(sales_orders[fulfillment],B124)</f>
        <v>In store</v>
      </c>
      <c r="G124" t="str" cm="1">
        <f t="array" ref="G124">INDEX(sales_orders[line_items],B124)</f>
        <v>[_x000D_
  {_x000D_
    "product": {_x000D_
      "product_name": "Contoso Expandable 2-Handset Cordless Phone System M205 White",_x000D_
      "product_price": 40.19_x000D_
    },_x000D_
    "quantity": 2_x000D_
  },_x000D_
  {_x000D_
    "product": {_x000D_
      "product_name": "The Phone Company Touch Screen Phones 4-Wire/On-wall M302 Gold",_x000D_
      "product_price": 289_x000D_
    },_x000D_
    "quantity": 1_x000D_
  }_x000D_
]</v>
      </c>
      <c r="H124" t="str">
        <f t="shared" si="4"/>
        <v>The Phone Company Touch Screen Phones 4-Wire/On-wall M302 Gold</v>
      </c>
      <c r="I124" s="4">
        <f t="shared" si="5"/>
        <v>1</v>
      </c>
      <c r="J124" s="3">
        <f t="shared" si="6"/>
        <v>289</v>
      </c>
      <c r="K124">
        <f t="shared" si="7"/>
        <v>289</v>
      </c>
    </row>
    <row r="125" spans="1:11" x14ac:dyDescent="0.3">
      <c r="A125">
        <v>124</v>
      </c>
      <c r="B125">
        <f>_xlfn.XMATCH(A125,sales_orders[acu_items],1)</f>
        <v>56</v>
      </c>
      <c r="C125" cm="1">
        <f t="array" ref="C125">A125-IF(B125=1,0,INDEX(sales_orders[acu_items],B125-1))</f>
        <v>1</v>
      </c>
      <c r="D125" cm="1">
        <f t="array" ref="D125">INDEX(sales_orders[order_number],B125)</f>
        <v>1625021</v>
      </c>
      <c r="E125" s="1" cm="1">
        <f t="array" ref="E125">INDEX(sales_orders[order_date],B125)</f>
        <v>43629</v>
      </c>
      <c r="F125" t="str" cm="1">
        <f t="array" ref="F125">INDEX(sales_orders[fulfillment],B125)</f>
        <v>In store</v>
      </c>
      <c r="G125" t="str" cm="1">
        <f t="array" ref="G125">INDEX(sales_orders[line_items],B125)</f>
        <v>[_x000D_
  {_x000D_
    "product": {_x000D_
      "product_name": "SV DVD 60 DVD Storage Binder L20 Black",_x000D_
      "product_price": 22.89_x000D_
    },_x000D_
    "quantity": 2_x000D_
  },_x000D_
  {_x000D_
    "product": {_x000D_
      "product_name": "WWI 2GB Pulse Smart pen M100 White",_x000D_
      "product_price": 199.95_x000D_
    },_x000D_
    "quantity": 2_x000D_
  },_x000D_
  {_x000D_
    "product": {_x000D_
      "product_name": "Contoso Travel Charger for S-Series Battery E302 Black",_x000D_
      "product_price": 59.99_x000D_
    },_x000D_
    "quantity": 1_x000D_
  },_x000D_
  {_x000D_
    "product": {_x000D_
      "product_name": "MGS Hand Games women M400 Silver",_x000D_
      "product_price": 8.99_x000D_
    },_x000D_
    "quantity": 3_x000D_
  }_x000D_
]</v>
      </c>
      <c r="H125" t="str">
        <f t="shared" si="4"/>
        <v>SV DVD 60 DVD Storage Binder L20 Black</v>
      </c>
      <c r="I125" s="4">
        <f t="shared" si="5"/>
        <v>2</v>
      </c>
      <c r="J125" s="3">
        <f t="shared" si="6"/>
        <v>22.89</v>
      </c>
      <c r="K125">
        <f t="shared" si="7"/>
        <v>45.78</v>
      </c>
    </row>
    <row r="126" spans="1:11" x14ac:dyDescent="0.3">
      <c r="A126">
        <v>125</v>
      </c>
      <c r="B126">
        <f>_xlfn.XMATCH(A126,sales_orders[acu_items],1)</f>
        <v>56</v>
      </c>
      <c r="C126" cm="1">
        <f t="array" ref="C126">A126-IF(B126=1,0,INDEX(sales_orders[acu_items],B126-1))</f>
        <v>2</v>
      </c>
      <c r="D126" cm="1">
        <f t="array" ref="D126">INDEX(sales_orders[order_number],B126)</f>
        <v>1625021</v>
      </c>
      <c r="E126" s="1" cm="1">
        <f t="array" ref="E126">INDEX(sales_orders[order_date],B126)</f>
        <v>43629</v>
      </c>
      <c r="F126" t="str" cm="1">
        <f t="array" ref="F126">INDEX(sales_orders[fulfillment],B126)</f>
        <v>In store</v>
      </c>
      <c r="G126" t="str" cm="1">
        <f t="array" ref="G126">INDEX(sales_orders[line_items],B126)</f>
        <v>[_x000D_
  {_x000D_
    "product": {_x000D_
      "product_name": "SV DVD 60 DVD Storage Binder L20 Black",_x000D_
      "product_price": 22.89_x000D_
    },_x000D_
    "quantity": 2_x000D_
  },_x000D_
  {_x000D_
    "product": {_x000D_
      "product_name": "WWI 2GB Pulse Smart pen M100 White",_x000D_
      "product_price": 199.95_x000D_
    },_x000D_
    "quantity": 2_x000D_
  },_x000D_
  {_x000D_
    "product": {_x000D_
      "product_name": "Contoso Travel Charger for S-Series Battery E302 Black",_x000D_
      "product_price": 59.99_x000D_
    },_x000D_
    "quantity": 1_x000D_
  },_x000D_
  {_x000D_
    "product": {_x000D_
      "product_name": "MGS Hand Games women M400 Silver",_x000D_
      "product_price": 8.99_x000D_
    },_x000D_
    "quantity": 3_x000D_
  }_x000D_
]</v>
      </c>
      <c r="H126" t="str">
        <f t="shared" si="4"/>
        <v>WWI 2GB Pulse Smart pen M100 White</v>
      </c>
      <c r="I126" s="4">
        <f t="shared" si="5"/>
        <v>2</v>
      </c>
      <c r="J126" s="3">
        <f t="shared" si="6"/>
        <v>199.95</v>
      </c>
      <c r="K126">
        <f t="shared" si="7"/>
        <v>399.9</v>
      </c>
    </row>
    <row r="127" spans="1:11" x14ac:dyDescent="0.3">
      <c r="A127">
        <v>126</v>
      </c>
      <c r="B127">
        <f>_xlfn.XMATCH(A127,sales_orders[acu_items],1)</f>
        <v>56</v>
      </c>
      <c r="C127" cm="1">
        <f t="array" ref="C127">A127-IF(B127=1,0,INDEX(sales_orders[acu_items],B127-1))</f>
        <v>3</v>
      </c>
      <c r="D127" cm="1">
        <f t="array" ref="D127">INDEX(sales_orders[order_number],B127)</f>
        <v>1625021</v>
      </c>
      <c r="E127" s="1" cm="1">
        <f t="array" ref="E127">INDEX(sales_orders[order_date],B127)</f>
        <v>43629</v>
      </c>
      <c r="F127" t="str" cm="1">
        <f t="array" ref="F127">INDEX(sales_orders[fulfillment],B127)</f>
        <v>In store</v>
      </c>
      <c r="G127" t="str" cm="1">
        <f t="array" ref="G127">INDEX(sales_orders[line_items],B127)</f>
        <v>[_x000D_
  {_x000D_
    "product": {_x000D_
      "product_name": "SV DVD 60 DVD Storage Binder L20 Black",_x000D_
      "product_price": 22.89_x000D_
    },_x000D_
    "quantity": 2_x000D_
  },_x000D_
  {_x000D_
    "product": {_x000D_
      "product_name": "WWI 2GB Pulse Smart pen M100 White",_x000D_
      "product_price": 199.95_x000D_
    },_x000D_
    "quantity": 2_x000D_
  },_x000D_
  {_x000D_
    "product": {_x000D_
      "product_name": "Contoso Travel Charger for S-Series Battery E302 Black",_x000D_
      "product_price": 59.99_x000D_
    },_x000D_
    "quantity": 1_x000D_
  },_x000D_
  {_x000D_
    "product": {_x000D_
      "product_name": "MGS Hand Games women M400 Silver",_x000D_
      "product_price": 8.99_x000D_
    },_x000D_
    "quantity": 3_x000D_
  }_x000D_
]</v>
      </c>
      <c r="H127" t="str">
        <f t="shared" si="4"/>
        <v>Contoso Travel Charger for S-Series Battery E302 Black</v>
      </c>
      <c r="I127" s="4">
        <f t="shared" si="5"/>
        <v>1</v>
      </c>
      <c r="J127" s="3">
        <f t="shared" si="6"/>
        <v>59.99</v>
      </c>
      <c r="K127">
        <f t="shared" si="7"/>
        <v>59.99</v>
      </c>
    </row>
    <row r="128" spans="1:11" x14ac:dyDescent="0.3">
      <c r="A128">
        <v>127</v>
      </c>
      <c r="B128">
        <f>_xlfn.XMATCH(A128,sales_orders[acu_items],1)</f>
        <v>56</v>
      </c>
      <c r="C128" cm="1">
        <f t="array" ref="C128">A128-IF(B128=1,0,INDEX(sales_orders[acu_items],B128-1))</f>
        <v>4</v>
      </c>
      <c r="D128" cm="1">
        <f t="array" ref="D128">INDEX(sales_orders[order_number],B128)</f>
        <v>1625021</v>
      </c>
      <c r="E128" s="1" cm="1">
        <f t="array" ref="E128">INDEX(sales_orders[order_date],B128)</f>
        <v>43629</v>
      </c>
      <c r="F128" t="str" cm="1">
        <f t="array" ref="F128">INDEX(sales_orders[fulfillment],B128)</f>
        <v>In store</v>
      </c>
      <c r="G128" t="str" cm="1">
        <f t="array" ref="G128">INDEX(sales_orders[line_items],B128)</f>
        <v>[_x000D_
  {_x000D_
    "product": {_x000D_
      "product_name": "SV DVD 60 DVD Storage Binder L20 Black",_x000D_
      "product_price": 22.89_x000D_
    },_x000D_
    "quantity": 2_x000D_
  },_x000D_
  {_x000D_
    "product": {_x000D_
      "product_name": "WWI 2GB Pulse Smart pen M100 White",_x000D_
      "product_price": 199.95_x000D_
    },_x000D_
    "quantity": 2_x000D_
  },_x000D_
  {_x000D_
    "product": {_x000D_
      "product_name": "Contoso Travel Charger for S-Series Battery E302 Black",_x000D_
      "product_price": 59.99_x000D_
    },_x000D_
    "quantity": 1_x000D_
  },_x000D_
  {_x000D_
    "product": {_x000D_
      "product_name": "MGS Hand Games women M400 Silver",_x000D_
      "product_price": 8.99_x000D_
    },_x000D_
    "quantity": 3_x000D_
  }_x000D_
]</v>
      </c>
      <c r="H128" t="str">
        <f t="shared" si="4"/>
        <v>MGS Hand Games women M400 Silver</v>
      </c>
      <c r="I128" s="4">
        <f t="shared" si="5"/>
        <v>3</v>
      </c>
      <c r="J128" s="3">
        <f t="shared" si="6"/>
        <v>8.99</v>
      </c>
      <c r="K128">
        <f t="shared" si="7"/>
        <v>26.97</v>
      </c>
    </row>
    <row r="129" spans="1:11" x14ac:dyDescent="0.3">
      <c r="A129">
        <v>128</v>
      </c>
      <c r="B129">
        <f>_xlfn.XMATCH(A129,sales_orders[acu_items],1)</f>
        <v>57</v>
      </c>
      <c r="C129" cm="1">
        <f t="array" ref="C129">A129-IF(B129=1,0,INDEX(sales_orders[acu_items],B129-1))</f>
        <v>1</v>
      </c>
      <c r="D129" cm="1">
        <f t="array" ref="D129">INDEX(sales_orders[order_number],B129)</f>
        <v>1634000</v>
      </c>
      <c r="E129" s="1" cm="1">
        <f t="array" ref="E129">INDEX(sales_orders[order_date],B129)</f>
        <v>43638</v>
      </c>
      <c r="F129" t="str" cm="1">
        <f t="array" ref="F129">INDEX(sales_orders[fulfillment],B129)</f>
        <v>In store</v>
      </c>
      <c r="G129" t="str" cm="1">
        <f t="array" ref="G129">INDEX(sales_orders[line_items],B129)</f>
        <v>[_x000D_
  {_x000D_
    "product": {_x000D_
      "product_name": "Adventure Works 13 Color TV E25 White",_x000D_
      "product_price": 119.99_x000D_
    },_x000D_
    "quantity": 3_x000D_
  },_x000D_
  {_x000D_
    "product": {_x000D_
      "product_name": "MGS Hand Games for 12-16 boys E600 Yellow",_x000D_
      "product_price": 4.99_x000D_
    },_x000D_
    "quantity": 2_x000D_
  },_x000D_
  {_x000D_
    "product": {_x000D_
      "product_name": "WWI 1GB Digital Voice Recorder Pen E100 Red",_x000D_
      "product_price": 156_x000D_
    },_x000D_
    "quantity": 4_x000D_
  }_x000D_
]</v>
      </c>
      <c r="H129" t="str">
        <f t="shared" si="4"/>
        <v>Adventure Works 13 Color TV E25 White</v>
      </c>
      <c r="I129" s="4">
        <f t="shared" si="5"/>
        <v>3</v>
      </c>
      <c r="J129" s="3">
        <f t="shared" si="6"/>
        <v>119.99</v>
      </c>
      <c r="K129">
        <f t="shared" si="7"/>
        <v>359.96999999999997</v>
      </c>
    </row>
    <row r="130" spans="1:11" x14ac:dyDescent="0.3">
      <c r="A130">
        <v>129</v>
      </c>
      <c r="B130">
        <f>_xlfn.XMATCH(A130,sales_orders[acu_items],1)</f>
        <v>57</v>
      </c>
      <c r="C130" cm="1">
        <f t="array" ref="C130">A130-IF(B130=1,0,INDEX(sales_orders[acu_items],B130-1))</f>
        <v>2</v>
      </c>
      <c r="D130" cm="1">
        <f t="array" ref="D130">INDEX(sales_orders[order_number],B130)</f>
        <v>1634000</v>
      </c>
      <c r="E130" s="1" cm="1">
        <f t="array" ref="E130">INDEX(sales_orders[order_date],B130)</f>
        <v>43638</v>
      </c>
      <c r="F130" t="str" cm="1">
        <f t="array" ref="F130">INDEX(sales_orders[fulfillment],B130)</f>
        <v>In store</v>
      </c>
      <c r="G130" t="str" cm="1">
        <f t="array" ref="G130">INDEX(sales_orders[line_items],B130)</f>
        <v>[_x000D_
  {_x000D_
    "product": {_x000D_
      "product_name": "Adventure Works 13 Color TV E25 White",_x000D_
      "product_price": 119.99_x000D_
    },_x000D_
    "quantity": 3_x000D_
  },_x000D_
  {_x000D_
    "product": {_x000D_
      "product_name": "MGS Hand Games for 12-16 boys E600 Yellow",_x000D_
      "product_price": 4.99_x000D_
    },_x000D_
    "quantity": 2_x000D_
  },_x000D_
  {_x000D_
    "product": {_x000D_
      "product_name": "WWI 1GB Digital Voice Recorder Pen E100 Red",_x000D_
      "product_price": 156_x000D_
    },_x000D_
    "quantity": 4_x000D_
  }_x000D_
]</v>
      </c>
      <c r="H130" t="str">
        <f t="shared" si="4"/>
        <v>MGS Hand Games for 12-16 boys E600 Yellow</v>
      </c>
      <c r="I130" s="4">
        <f t="shared" si="5"/>
        <v>2</v>
      </c>
      <c r="J130" s="3">
        <f t="shared" si="6"/>
        <v>4.99</v>
      </c>
      <c r="K130">
        <f t="shared" si="7"/>
        <v>9.98</v>
      </c>
    </row>
    <row r="131" spans="1:11" x14ac:dyDescent="0.3">
      <c r="A131">
        <v>130</v>
      </c>
      <c r="B131">
        <f>_xlfn.XMATCH(A131,sales_orders[acu_items],1)</f>
        <v>57</v>
      </c>
      <c r="C131" cm="1">
        <f t="array" ref="C131">A131-IF(B131=1,0,INDEX(sales_orders[acu_items],B131-1))</f>
        <v>3</v>
      </c>
      <c r="D131" cm="1">
        <f t="array" ref="D131">INDEX(sales_orders[order_number],B131)</f>
        <v>1634000</v>
      </c>
      <c r="E131" s="1" cm="1">
        <f t="array" ref="E131">INDEX(sales_orders[order_date],B131)</f>
        <v>43638</v>
      </c>
      <c r="F131" t="str" cm="1">
        <f t="array" ref="F131">INDEX(sales_orders[fulfillment],B131)</f>
        <v>In store</v>
      </c>
      <c r="G131" t="str" cm="1">
        <f t="array" ref="G131">INDEX(sales_orders[line_items],B131)</f>
        <v>[_x000D_
  {_x000D_
    "product": {_x000D_
      "product_name": "Adventure Works 13 Color TV E25 White",_x000D_
      "product_price": 119.99_x000D_
    },_x000D_
    "quantity": 3_x000D_
  },_x000D_
  {_x000D_
    "product": {_x000D_
      "product_name": "MGS Hand Games for 12-16 boys E600 Yellow",_x000D_
      "product_price": 4.99_x000D_
    },_x000D_
    "quantity": 2_x000D_
  },_x000D_
  {_x000D_
    "product": {_x000D_
      "product_name": "WWI 1GB Digital Voice Recorder Pen E100 Red",_x000D_
      "product_price": 156_x000D_
    },_x000D_
    "quantity": 4_x000D_
  }_x000D_
]</v>
      </c>
      <c r="H131" t="str">
        <f t="shared" ref="H131:H194" si="8">_xlfn.TEXTBEFORE(_xlfn.TEXTAFTER(G131,"""product_name"": """,C131),"""")</f>
        <v>WWI 1GB Digital Voice Recorder Pen E100 Red</v>
      </c>
      <c r="I131" s="4">
        <f t="shared" ref="I131:I194" si="9">--TRIM(SUBSTITUTE(SUBSTITUTE(_xlfn.TEXTBEFORE(_xlfn.TEXTAFTER(G131,"""quantity"": ",C131),"}"),CHAR(10),""),CHAR(13),""))</f>
        <v>4</v>
      </c>
      <c r="J131" s="3">
        <f t="shared" ref="J131:J194" si="10">--TRIM(SUBSTITUTE(SUBSTITUTE(_xlfn.TEXTBEFORE(_xlfn.TEXTAFTER(G131,"""product_price"": ",C131),"}"),CHAR(10),""),CHAR(13),""))</f>
        <v>156</v>
      </c>
      <c r="K131">
        <f t="shared" ref="K131:K194" si="11">+I131*J131</f>
        <v>624</v>
      </c>
    </row>
    <row r="132" spans="1:11" x14ac:dyDescent="0.3">
      <c r="A132">
        <v>131</v>
      </c>
      <c r="B132">
        <f>_xlfn.XMATCH(A132,sales_orders[acu_items],1)</f>
        <v>58</v>
      </c>
      <c r="C132" cm="1">
        <f t="array" ref="C132">A132-IF(B132=1,0,INDEX(sales_orders[acu_items],B132-1))</f>
        <v>1</v>
      </c>
      <c r="D132" cm="1">
        <f t="array" ref="D132">INDEX(sales_orders[order_number],B132)</f>
        <v>1639015</v>
      </c>
      <c r="E132" s="1" cm="1">
        <f t="array" ref="E132">INDEX(sales_orders[order_date],B132)</f>
        <v>43643</v>
      </c>
      <c r="F132" t="str" cm="1">
        <f t="array" ref="F132">INDEX(sales_orders[fulfillment],B132)</f>
        <v>In store</v>
      </c>
      <c r="G132" t="str" cm="1">
        <f t="array" ref="G132">INDEX(sales_orders[line_items],B132)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2" t="str">
        <f t="shared" si="8"/>
        <v>MGS Halo 2 for Windows Vista M220</v>
      </c>
      <c r="I132" s="4">
        <f t="shared" si="9"/>
        <v>7</v>
      </c>
      <c r="J132" s="3">
        <f t="shared" si="10"/>
        <v>70.13</v>
      </c>
      <c r="K132">
        <f t="shared" si="11"/>
        <v>490.90999999999997</v>
      </c>
    </row>
    <row r="133" spans="1:11" x14ac:dyDescent="0.3">
      <c r="A133">
        <v>132</v>
      </c>
      <c r="B133">
        <f>_xlfn.XMATCH(A133,sales_orders[acu_items],1)</f>
        <v>58</v>
      </c>
      <c r="C133" cm="1">
        <f t="array" ref="C133">A133-IF(B133=1,0,INDEX(sales_orders[acu_items],B133-1))</f>
        <v>2</v>
      </c>
      <c r="D133" cm="1">
        <f t="array" ref="D133">INDEX(sales_orders[order_number],B133)</f>
        <v>1639015</v>
      </c>
      <c r="E133" s="1" cm="1">
        <f t="array" ref="E133">INDEX(sales_orders[order_date],B133)</f>
        <v>43643</v>
      </c>
      <c r="F133" t="str" cm="1">
        <f t="array" ref="F133">INDEX(sales_orders[fulfillment],B133)</f>
        <v>In store</v>
      </c>
      <c r="G133" t="str" cm="1">
        <f t="array" ref="G133">INDEX(sales_orders[line_items],B133)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3" t="str">
        <f t="shared" si="8"/>
        <v>Fabrikam Budget Moviemaker 2/3'' 17mm E100 Grey</v>
      </c>
      <c r="I133" s="4">
        <f t="shared" si="9"/>
        <v>2</v>
      </c>
      <c r="J133" s="3">
        <f t="shared" si="10"/>
        <v>410</v>
      </c>
      <c r="K133">
        <f t="shared" si="11"/>
        <v>820</v>
      </c>
    </row>
    <row r="134" spans="1:11" x14ac:dyDescent="0.3">
      <c r="A134">
        <v>133</v>
      </c>
      <c r="B134">
        <f>_xlfn.XMATCH(A134,sales_orders[acu_items],1)</f>
        <v>58</v>
      </c>
      <c r="C134" cm="1">
        <f t="array" ref="C134">A134-IF(B134=1,0,INDEX(sales_orders[acu_items],B134-1))</f>
        <v>3</v>
      </c>
      <c r="D134" cm="1">
        <f t="array" ref="D134">INDEX(sales_orders[order_number],B134)</f>
        <v>1639015</v>
      </c>
      <c r="E134" s="1" cm="1">
        <f t="array" ref="E134">INDEX(sales_orders[order_date],B134)</f>
        <v>43643</v>
      </c>
      <c r="F134" t="str" cm="1">
        <f t="array" ref="F134">INDEX(sales_orders[fulfillment],B134)</f>
        <v>In store</v>
      </c>
      <c r="G134" t="str" cm="1">
        <f t="array" ref="G134">INDEX(sales_orders[line_items],B134)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4" t="str">
        <f t="shared" si="8"/>
        <v>WWI 2GB Spy Video Recorder Pen M300 Purple</v>
      </c>
      <c r="I134" s="4">
        <f t="shared" si="9"/>
        <v>3</v>
      </c>
      <c r="J134" s="3">
        <f t="shared" si="10"/>
        <v>181</v>
      </c>
      <c r="K134">
        <f t="shared" si="11"/>
        <v>543</v>
      </c>
    </row>
    <row r="135" spans="1:11" x14ac:dyDescent="0.3">
      <c r="A135">
        <v>134</v>
      </c>
      <c r="B135">
        <f>_xlfn.XMATCH(A135,sales_orders[acu_items],1)</f>
        <v>58</v>
      </c>
      <c r="C135" cm="1">
        <f t="array" ref="C135">A135-IF(B135=1,0,INDEX(sales_orders[acu_items],B135-1))</f>
        <v>4</v>
      </c>
      <c r="D135" cm="1">
        <f t="array" ref="D135">INDEX(sales_orders[order_number],B135)</f>
        <v>1639015</v>
      </c>
      <c r="E135" s="1" cm="1">
        <f t="array" ref="E135">INDEX(sales_orders[order_date],B135)</f>
        <v>43643</v>
      </c>
      <c r="F135" t="str" cm="1">
        <f t="array" ref="F135">INDEX(sales_orders[fulfillment],B135)</f>
        <v>In store</v>
      </c>
      <c r="G135" t="str" cm="1">
        <f t="array" ref="G135">INDEX(sales_orders[line_items],B135)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5" t="str">
        <f t="shared" si="8"/>
        <v>MGS Hand Games for students E400 Silver</v>
      </c>
      <c r="I135" s="4">
        <f t="shared" si="9"/>
        <v>3</v>
      </c>
      <c r="J135" s="3">
        <f t="shared" si="10"/>
        <v>6.99</v>
      </c>
      <c r="K135">
        <f t="shared" si="11"/>
        <v>20.97</v>
      </c>
    </row>
    <row r="136" spans="1:11" x14ac:dyDescent="0.3">
      <c r="A136">
        <v>135</v>
      </c>
      <c r="B136">
        <f>_xlfn.XMATCH(A136,sales_orders[acu_items],1)</f>
        <v>58</v>
      </c>
      <c r="C136" cm="1">
        <f t="array" ref="C136">A136-IF(B136=1,0,INDEX(sales_orders[acu_items],B136-1))</f>
        <v>5</v>
      </c>
      <c r="D136" cm="1">
        <f t="array" ref="D136">INDEX(sales_orders[order_number],B136)</f>
        <v>1639015</v>
      </c>
      <c r="E136" s="1" cm="1">
        <f t="array" ref="E136">INDEX(sales_orders[order_date],B136)</f>
        <v>43643</v>
      </c>
      <c r="F136" t="str" cm="1">
        <f t="array" ref="F136">INDEX(sales_orders[fulfillment],B136)</f>
        <v>In store</v>
      </c>
      <c r="G136" t="str" cm="1">
        <f t="array" ref="G136">INDEX(sales_orders[line_items],B136)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6" t="str">
        <f t="shared" si="8"/>
        <v>Contoso Expandable 4-Handset Cordless Phone System M206 Black</v>
      </c>
      <c r="I136" s="4">
        <f t="shared" si="9"/>
        <v>2</v>
      </c>
      <c r="J136" s="3">
        <f t="shared" si="10"/>
        <v>43.81</v>
      </c>
      <c r="K136">
        <f t="shared" si="11"/>
        <v>87.62</v>
      </c>
    </row>
    <row r="137" spans="1:11" x14ac:dyDescent="0.3">
      <c r="A137">
        <v>136</v>
      </c>
      <c r="B137">
        <f>_xlfn.XMATCH(A137,sales_orders[acu_items],1)</f>
        <v>58</v>
      </c>
      <c r="C137" cm="1">
        <f t="array" ref="C137">A137-IF(B137=1,0,INDEX(sales_orders[acu_items],B137-1))</f>
        <v>6</v>
      </c>
      <c r="D137" cm="1">
        <f t="array" ref="D137">INDEX(sales_orders[order_number],B137)</f>
        <v>1639015</v>
      </c>
      <c r="E137" s="1" cm="1">
        <f t="array" ref="E137">INDEX(sales_orders[order_date],B137)</f>
        <v>43643</v>
      </c>
      <c r="F137" t="str" cm="1">
        <f t="array" ref="F137">INDEX(sales_orders[fulfillment],B137)</f>
        <v>In store</v>
      </c>
      <c r="G137" t="str" cm="1">
        <f t="array" ref="G137">INDEX(sales_orders[line_items],B137)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7" t="str">
        <f t="shared" si="8"/>
        <v>Adventure Works Desktop PC1.60 ED160 Silver</v>
      </c>
      <c r="I137" s="4">
        <f t="shared" si="9"/>
        <v>8</v>
      </c>
      <c r="J137" s="3">
        <f t="shared" si="10"/>
        <v>269.95</v>
      </c>
      <c r="K137">
        <f t="shared" si="11"/>
        <v>2159.6</v>
      </c>
    </row>
    <row r="138" spans="1:11" x14ac:dyDescent="0.3">
      <c r="A138">
        <v>137</v>
      </c>
      <c r="B138">
        <f>_xlfn.XMATCH(A138,sales_orders[acu_items],1)</f>
        <v>58</v>
      </c>
      <c r="C138" cm="1">
        <f t="array" ref="C138">A138-IF(B138=1,0,INDEX(sales_orders[acu_items],B138-1))</f>
        <v>7</v>
      </c>
      <c r="D138" cm="1">
        <f t="array" ref="D138">INDEX(sales_orders[order_number],B138)</f>
        <v>1639015</v>
      </c>
      <c r="E138" s="1" cm="1">
        <f t="array" ref="E138">INDEX(sales_orders[order_date],B138)</f>
        <v>43643</v>
      </c>
      <c r="F138" t="str" cm="1">
        <f t="array" ref="F138">INDEX(sales_orders[fulfillment],B138)</f>
        <v>In store</v>
      </c>
      <c r="G138" t="str" cm="1">
        <f t="array" ref="G138">INDEX(sales_orders[line_items],B138)</f>
        <v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v>
      </c>
      <c r="H138" t="str">
        <f t="shared" si="8"/>
        <v>MGS Zoo Tycoon 2 E108</v>
      </c>
      <c r="I138" s="4">
        <f t="shared" si="9"/>
        <v>4</v>
      </c>
      <c r="J138" s="3">
        <f t="shared" si="10"/>
        <v>56</v>
      </c>
      <c r="K138">
        <f t="shared" si="11"/>
        <v>224</v>
      </c>
    </row>
    <row r="139" spans="1:11" x14ac:dyDescent="0.3">
      <c r="A139">
        <v>138</v>
      </c>
      <c r="B139">
        <f>_xlfn.XMATCH(A139,sales_orders[acu_items],1)</f>
        <v>59</v>
      </c>
      <c r="C139" cm="1">
        <f t="array" ref="C139">A139-IF(B139=1,0,INDEX(sales_orders[acu_items],B139-1))</f>
        <v>1</v>
      </c>
      <c r="D139" cm="1">
        <f t="array" ref="D139">INDEX(sales_orders[order_number],B139)</f>
        <v>1657003</v>
      </c>
      <c r="E139" s="1" cm="1">
        <f t="array" ref="E139">INDEX(sales_orders[order_date],B139)</f>
        <v>43661</v>
      </c>
      <c r="F139" t="str" cm="1">
        <f t="array" ref="F139">INDEX(sales_orders[fulfillment],B139)</f>
        <v>In store</v>
      </c>
      <c r="G139" t="str" cm="1">
        <f t="array" ref="G139">INDEX(sales_orders[line_items],B139)</f>
        <v>[_x000D_
  {_x000D_
    "product": {_x000D_
      "product_name": "MGS Hand Games men M300 Red",_x000D_
      "product_price": 6.89_x000D_
    },_x000D_
    "quantity": 3_x000D_
  },_x000D_
  {_x000D_
    "product": {_x000D_
      "product_name": "WWI Desktop PC2.33 X2330 Silver",_x000D_
      "product_price": 919_x000D_
    },_x000D_
    "quantity": 6_x000D_
  }_x000D_
]</v>
      </c>
      <c r="H139" t="str">
        <f t="shared" si="8"/>
        <v>MGS Hand Games men M300 Red</v>
      </c>
      <c r="I139" s="4">
        <f t="shared" si="9"/>
        <v>3</v>
      </c>
      <c r="J139" s="3">
        <f t="shared" si="10"/>
        <v>6.89</v>
      </c>
      <c r="K139">
        <f t="shared" si="11"/>
        <v>20.669999999999998</v>
      </c>
    </row>
    <row r="140" spans="1:11" x14ac:dyDescent="0.3">
      <c r="A140">
        <v>139</v>
      </c>
      <c r="B140">
        <f>_xlfn.XMATCH(A140,sales_orders[acu_items],1)</f>
        <v>59</v>
      </c>
      <c r="C140" cm="1">
        <f t="array" ref="C140">A140-IF(B140=1,0,INDEX(sales_orders[acu_items],B140-1))</f>
        <v>2</v>
      </c>
      <c r="D140" cm="1">
        <f t="array" ref="D140">INDEX(sales_orders[order_number],B140)</f>
        <v>1657003</v>
      </c>
      <c r="E140" s="1" cm="1">
        <f t="array" ref="E140">INDEX(sales_orders[order_date],B140)</f>
        <v>43661</v>
      </c>
      <c r="F140" t="str" cm="1">
        <f t="array" ref="F140">INDEX(sales_orders[fulfillment],B140)</f>
        <v>In store</v>
      </c>
      <c r="G140" t="str" cm="1">
        <f t="array" ref="G140">INDEX(sales_orders[line_items],B140)</f>
        <v>[_x000D_
  {_x000D_
    "product": {_x000D_
      "product_name": "MGS Hand Games men M300 Red",_x000D_
      "product_price": 6.89_x000D_
    },_x000D_
    "quantity": 3_x000D_
  },_x000D_
  {_x000D_
    "product": {_x000D_
      "product_name": "WWI Desktop PC2.33 X2330 Silver",_x000D_
      "product_price": 919_x000D_
    },_x000D_
    "quantity": 6_x000D_
  }_x000D_
]</v>
      </c>
      <c r="H140" t="str">
        <f t="shared" si="8"/>
        <v>WWI Desktop PC2.33 X2330 Silver</v>
      </c>
      <c r="I140" s="4">
        <f t="shared" si="9"/>
        <v>6</v>
      </c>
      <c r="J140" s="3">
        <f t="shared" si="10"/>
        <v>919</v>
      </c>
      <c r="K140">
        <f t="shared" si="11"/>
        <v>5514</v>
      </c>
    </row>
    <row r="141" spans="1:11" x14ac:dyDescent="0.3">
      <c r="A141">
        <v>140</v>
      </c>
      <c r="B141">
        <f>_xlfn.XMATCH(A141,sales_orders[acu_items],1)</f>
        <v>60</v>
      </c>
      <c r="C141" cm="1">
        <f t="array" ref="C141">A141-IF(B141=1,0,INDEX(sales_orders[acu_items],B141-1))</f>
        <v>1</v>
      </c>
      <c r="D141" cm="1">
        <f t="array" ref="D141">INDEX(sales_orders[order_number],B141)</f>
        <v>1666019</v>
      </c>
      <c r="E141" s="1" cm="1">
        <f t="array" ref="E141">INDEX(sales_orders[order_date],B141)</f>
        <v>43670</v>
      </c>
      <c r="F141" t="str" cm="1">
        <f t="array" ref="F141">INDEX(sales_orders[fulfillment],B141)</f>
        <v>In store</v>
      </c>
      <c r="G141" t="str" cm="1">
        <f t="array" ref="G141">INDEX(sales_orders[line_items],B141)</f>
        <v>[_x000D_
  {_x000D_
    "product": {_x000D_
      "product_name": "MGS Train Simulator E124",_x000D_
      "product_price": 50.54_x000D_
    },_x000D_
    "quantity": 1_x000D_
  }_x000D_
]</v>
      </c>
      <c r="H141" t="str">
        <f t="shared" si="8"/>
        <v>MGS Train Simulator E124</v>
      </c>
      <c r="I141" s="4">
        <f t="shared" si="9"/>
        <v>1</v>
      </c>
      <c r="J141" s="3">
        <f t="shared" si="10"/>
        <v>50.54</v>
      </c>
      <c r="K141">
        <f t="shared" si="11"/>
        <v>50.54</v>
      </c>
    </row>
    <row r="142" spans="1:11" x14ac:dyDescent="0.3">
      <c r="A142">
        <v>141</v>
      </c>
      <c r="B142">
        <f>_xlfn.XMATCH(A142,sales_orders[acu_items],1)</f>
        <v>61</v>
      </c>
      <c r="C142" cm="1">
        <f t="array" ref="C142">A142-IF(B142=1,0,INDEX(sales_orders[acu_items],B142-1))</f>
        <v>1</v>
      </c>
      <c r="D142" cm="1">
        <f t="array" ref="D142">INDEX(sales_orders[order_number],B142)</f>
        <v>1668015</v>
      </c>
      <c r="E142" s="1" cm="1">
        <f t="array" ref="E142">INDEX(sales_orders[order_date],B142)</f>
        <v>43672</v>
      </c>
      <c r="F142" t="str" cm="1">
        <f t="array" ref="F142">INDEX(sales_orders[fulfillment],B142)</f>
        <v>In store</v>
      </c>
      <c r="G142" t="str" cm="1">
        <f t="array" ref="G142">INDEX(sales_orders[line_items],B142)</f>
        <v>[_x000D_
  {_x000D_
    "product": {_x000D_
      "product_name": "Contoso 4G MP3 Player E400 Black",_x000D_
      "product_price": 59.99_x000D_
    },_x000D_
    "quantity": 2_x000D_
  }_x000D_
]</v>
      </c>
      <c r="H142" t="str">
        <f t="shared" si="8"/>
        <v>Contoso 4G MP3 Player E400 Black</v>
      </c>
      <c r="I142" s="4">
        <f t="shared" si="9"/>
        <v>2</v>
      </c>
      <c r="J142" s="3">
        <f t="shared" si="10"/>
        <v>59.99</v>
      </c>
      <c r="K142">
        <f t="shared" si="11"/>
        <v>119.98</v>
      </c>
    </row>
    <row r="143" spans="1:11" x14ac:dyDescent="0.3">
      <c r="A143">
        <v>142</v>
      </c>
      <c r="B143">
        <f>_xlfn.XMATCH(A143,sales_orders[acu_items],1)</f>
        <v>62</v>
      </c>
      <c r="C143" cm="1">
        <f t="array" ref="C143">A143-IF(B143=1,0,INDEX(sales_orders[acu_items],B143-1))</f>
        <v>1</v>
      </c>
      <c r="D143" cm="1">
        <f t="array" ref="D143">INDEX(sales_orders[order_number],B143)</f>
        <v>1669018</v>
      </c>
      <c r="E143" s="1" cm="1">
        <f t="array" ref="E143">INDEX(sales_orders[order_date],B143)</f>
        <v>43673</v>
      </c>
      <c r="F143" t="str" cm="1">
        <f t="array" ref="F143">INDEX(sales_orders[fulfillment],B143)</f>
        <v>In store</v>
      </c>
      <c r="G143" t="str" cm="1">
        <f t="array" ref="G143">INDEX(sales_orders[line_items],B143)</f>
        <v>[_x000D_
  {_x000D_
    "product": {_x000D_
      "product_name": "Contoso Conversion Lens M550 Blue",_x000D_
      "product_price": 205_x000D_
    },_x000D_
    "quantity": 6_x000D_
  },_x000D_
  {_x000D_
    "product": {_x000D_
      "product_name": "The Phone Company Touch Screen Phones - CRT M11 Grey",_x000D_
      "product_price": 189_x000D_
    },_x000D_
    "quantity": 1_x000D_
  },_x000D_
  {_x000D_
    "product": {_x000D_
      "product_name": "SV DVD Player M120 White",_x000D_
      "product_price": 58.99_x000D_
    },_x000D_
    "quantity": 4_x000D_
  }_x000D_
]</v>
      </c>
      <c r="H143" t="str">
        <f t="shared" si="8"/>
        <v>Contoso Conversion Lens M550 Blue</v>
      </c>
      <c r="I143" s="4">
        <f t="shared" si="9"/>
        <v>6</v>
      </c>
      <c r="J143" s="3">
        <f t="shared" si="10"/>
        <v>205</v>
      </c>
      <c r="K143">
        <f t="shared" si="11"/>
        <v>1230</v>
      </c>
    </row>
    <row r="144" spans="1:11" x14ac:dyDescent="0.3">
      <c r="A144">
        <v>143</v>
      </c>
      <c r="B144">
        <f>_xlfn.XMATCH(A144,sales_orders[acu_items],1)</f>
        <v>62</v>
      </c>
      <c r="C144" cm="1">
        <f t="array" ref="C144">A144-IF(B144=1,0,INDEX(sales_orders[acu_items],B144-1))</f>
        <v>2</v>
      </c>
      <c r="D144" cm="1">
        <f t="array" ref="D144">INDEX(sales_orders[order_number],B144)</f>
        <v>1669018</v>
      </c>
      <c r="E144" s="1" cm="1">
        <f t="array" ref="E144">INDEX(sales_orders[order_date],B144)</f>
        <v>43673</v>
      </c>
      <c r="F144" t="str" cm="1">
        <f t="array" ref="F144">INDEX(sales_orders[fulfillment],B144)</f>
        <v>In store</v>
      </c>
      <c r="G144" t="str" cm="1">
        <f t="array" ref="G144">INDEX(sales_orders[line_items],B144)</f>
        <v>[_x000D_
  {_x000D_
    "product": {_x000D_
      "product_name": "Contoso Conversion Lens M550 Blue",_x000D_
      "product_price": 205_x000D_
    },_x000D_
    "quantity": 6_x000D_
  },_x000D_
  {_x000D_
    "product": {_x000D_
      "product_name": "The Phone Company Touch Screen Phones - CRT M11 Grey",_x000D_
      "product_price": 189_x000D_
    },_x000D_
    "quantity": 1_x000D_
  },_x000D_
  {_x000D_
    "product": {_x000D_
      "product_name": "SV DVD Player M120 White",_x000D_
      "product_price": 58.99_x000D_
    },_x000D_
    "quantity": 4_x000D_
  }_x000D_
]</v>
      </c>
      <c r="H144" t="str">
        <f t="shared" si="8"/>
        <v>The Phone Company Touch Screen Phones - CRT M11 Grey</v>
      </c>
      <c r="I144" s="4">
        <f t="shared" si="9"/>
        <v>1</v>
      </c>
      <c r="J144" s="3">
        <f t="shared" si="10"/>
        <v>189</v>
      </c>
      <c r="K144">
        <f t="shared" si="11"/>
        <v>189</v>
      </c>
    </row>
    <row r="145" spans="1:11" x14ac:dyDescent="0.3">
      <c r="A145">
        <v>144</v>
      </c>
      <c r="B145">
        <f>_xlfn.XMATCH(A145,sales_orders[acu_items],1)</f>
        <v>62</v>
      </c>
      <c r="C145" cm="1">
        <f t="array" ref="C145">A145-IF(B145=1,0,INDEX(sales_orders[acu_items],B145-1))</f>
        <v>3</v>
      </c>
      <c r="D145" cm="1">
        <f t="array" ref="D145">INDEX(sales_orders[order_number],B145)</f>
        <v>1669018</v>
      </c>
      <c r="E145" s="1" cm="1">
        <f t="array" ref="E145">INDEX(sales_orders[order_date],B145)</f>
        <v>43673</v>
      </c>
      <c r="F145" t="str" cm="1">
        <f t="array" ref="F145">INDEX(sales_orders[fulfillment],B145)</f>
        <v>In store</v>
      </c>
      <c r="G145" t="str" cm="1">
        <f t="array" ref="G145">INDEX(sales_orders[line_items],B145)</f>
        <v>[_x000D_
  {_x000D_
    "product": {_x000D_
      "product_name": "Contoso Conversion Lens M550 Blue",_x000D_
      "product_price": 205_x000D_
    },_x000D_
    "quantity": 6_x000D_
  },_x000D_
  {_x000D_
    "product": {_x000D_
      "product_name": "The Phone Company Touch Screen Phones - CRT M11 Grey",_x000D_
      "product_price": 189_x000D_
    },_x000D_
    "quantity": 1_x000D_
  },_x000D_
  {_x000D_
    "product": {_x000D_
      "product_name": "SV DVD Player M120 White",_x000D_
      "product_price": 58.99_x000D_
    },_x000D_
    "quantity": 4_x000D_
  }_x000D_
]</v>
      </c>
      <c r="H145" t="str">
        <f t="shared" si="8"/>
        <v>SV DVD Player M120 White</v>
      </c>
      <c r="I145" s="4">
        <f t="shared" si="9"/>
        <v>4</v>
      </c>
      <c r="J145" s="3">
        <f t="shared" si="10"/>
        <v>58.99</v>
      </c>
      <c r="K145">
        <f t="shared" si="11"/>
        <v>235.96</v>
      </c>
    </row>
    <row r="146" spans="1:11" x14ac:dyDescent="0.3">
      <c r="A146">
        <v>145</v>
      </c>
      <c r="B146">
        <f>_xlfn.XMATCH(A146,sales_orders[acu_items],1)</f>
        <v>63</v>
      </c>
      <c r="C146" cm="1">
        <f t="array" ref="C146">A146-IF(B146=1,0,INDEX(sales_orders[acu_items],B146-1))</f>
        <v>1</v>
      </c>
      <c r="D146" cm="1">
        <f t="array" ref="D146">INDEX(sales_orders[order_number],B146)</f>
        <v>1680019</v>
      </c>
      <c r="E146" s="1" cm="1">
        <f t="array" ref="E146">INDEX(sales_orders[order_date],B146)</f>
        <v>43684</v>
      </c>
      <c r="F146" t="str" cm="1">
        <f t="array" ref="F146">INDEX(sales_orders[fulfillment],B146)</f>
        <v>In store</v>
      </c>
      <c r="G146" t="str" cm="1">
        <f t="array" ref="G146">INDEX(sales_orders[line_items],B146)</f>
        <v>[_x000D_
  {_x000D_
    "product": {_x000D_
      "product_name": "Adventure Works 13 Color TV E25 Silver",_x000D_
      "product_price": 119.99_x000D_
    },_x000D_
    "quantity": 3_x000D_
  }_x000D_
]</v>
      </c>
      <c r="H146" t="str">
        <f t="shared" si="8"/>
        <v>Adventure Works 13 Color TV E25 Silver</v>
      </c>
      <c r="I146" s="4">
        <f t="shared" si="9"/>
        <v>3</v>
      </c>
      <c r="J146" s="3">
        <f t="shared" si="10"/>
        <v>119.99</v>
      </c>
      <c r="K146">
        <f t="shared" si="11"/>
        <v>359.96999999999997</v>
      </c>
    </row>
    <row r="147" spans="1:11" x14ac:dyDescent="0.3">
      <c r="A147">
        <v>146</v>
      </c>
      <c r="B147">
        <f>_xlfn.XMATCH(A147,sales_orders[acu_items],1)</f>
        <v>64</v>
      </c>
      <c r="C147" cm="1">
        <f t="array" ref="C147">A147-IF(B147=1,0,INDEX(sales_orders[acu_items],B147-1))</f>
        <v>1</v>
      </c>
      <c r="D147" cm="1">
        <f t="array" ref="D147">INDEX(sales_orders[order_number],B147)</f>
        <v>1701018</v>
      </c>
      <c r="E147" s="1" cm="1">
        <f t="array" ref="E147">INDEX(sales_orders[order_date],B147)</f>
        <v>43705</v>
      </c>
      <c r="F147" t="str" cm="1">
        <f t="array" ref="F147">INDEX(sales_orders[fulfillment],B147)</f>
        <v>In store</v>
      </c>
      <c r="G147" t="str" cm="1">
        <f t="array" ref="G147">INDEX(sales_orders[line_items],B147)</f>
        <v>[_x000D_
  {_x000D_
    "product": {_x000D_
      "product_name": "Adventure Works 40 LCD HDTV M690 Black",_x000D_
      "product_price": 1184.97_x000D_
    },_x000D_
    "quantity": 1_x000D_
  },_x000D_
  {_x000D_
    "product": {_x000D_
      "product_name": "MGS Zoo Tycoon 2: African Adventure 2008 E136",_x000D_
      "product_price": 43_x000D_
    },_x000D_
    "quantity": 1_x000D_
  }_x000D_
]</v>
      </c>
      <c r="H147" t="str">
        <f t="shared" si="8"/>
        <v>Adventure Works 40 LCD HDTV M690 Black</v>
      </c>
      <c r="I147" s="4">
        <f t="shared" si="9"/>
        <v>1</v>
      </c>
      <c r="J147" s="3">
        <f t="shared" si="10"/>
        <v>1184.97</v>
      </c>
      <c r="K147">
        <f t="shared" si="11"/>
        <v>1184.97</v>
      </c>
    </row>
    <row r="148" spans="1:11" x14ac:dyDescent="0.3">
      <c r="A148">
        <v>147</v>
      </c>
      <c r="B148">
        <f>_xlfn.XMATCH(A148,sales_orders[acu_items],1)</f>
        <v>64</v>
      </c>
      <c r="C148" cm="1">
        <f t="array" ref="C148">A148-IF(B148=1,0,INDEX(sales_orders[acu_items],B148-1))</f>
        <v>2</v>
      </c>
      <c r="D148" cm="1">
        <f t="array" ref="D148">INDEX(sales_orders[order_number],B148)</f>
        <v>1701018</v>
      </c>
      <c r="E148" s="1" cm="1">
        <f t="array" ref="E148">INDEX(sales_orders[order_date],B148)</f>
        <v>43705</v>
      </c>
      <c r="F148" t="str" cm="1">
        <f t="array" ref="F148">INDEX(sales_orders[fulfillment],B148)</f>
        <v>In store</v>
      </c>
      <c r="G148" t="str" cm="1">
        <f t="array" ref="G148">INDEX(sales_orders[line_items],B148)</f>
        <v>[_x000D_
  {_x000D_
    "product": {_x000D_
      "product_name": "Adventure Works 40 LCD HDTV M690 Black",_x000D_
      "product_price": 1184.97_x000D_
    },_x000D_
    "quantity": 1_x000D_
  },_x000D_
  {_x000D_
    "product": {_x000D_
      "product_name": "MGS Zoo Tycoon 2: African Adventure 2008 E136",_x000D_
      "product_price": 43_x000D_
    },_x000D_
    "quantity": 1_x000D_
  }_x000D_
]</v>
      </c>
      <c r="H148" t="str">
        <f t="shared" si="8"/>
        <v>MGS Zoo Tycoon 2: African Adventure 2008 E136</v>
      </c>
      <c r="I148" s="4">
        <f t="shared" si="9"/>
        <v>1</v>
      </c>
      <c r="J148" s="3">
        <f t="shared" si="10"/>
        <v>43</v>
      </c>
      <c r="K148">
        <f t="shared" si="11"/>
        <v>43</v>
      </c>
    </row>
    <row r="149" spans="1:11" x14ac:dyDescent="0.3">
      <c r="A149">
        <v>148</v>
      </c>
      <c r="B149">
        <f>_xlfn.XMATCH(A149,sales_orders[acu_items],1)</f>
        <v>65</v>
      </c>
      <c r="C149" cm="1">
        <f t="array" ref="C149">A149-IF(B149=1,0,INDEX(sales_orders[acu_items],B149-1))</f>
        <v>1</v>
      </c>
      <c r="D149" cm="1">
        <f t="array" ref="D149">INDEX(sales_orders[order_number],B149)</f>
        <v>1709012</v>
      </c>
      <c r="E149" s="1" cm="1">
        <f t="array" ref="E149">INDEX(sales_orders[order_date],B149)</f>
        <v>43713</v>
      </c>
      <c r="F149" t="str" cm="1">
        <f t="array" ref="F149">INDEX(sales_orders[fulfillment],B149)</f>
        <v>Online</v>
      </c>
      <c r="G149" t="str" cm="1">
        <f t="array" ref="G149">INDEX(sales_orders[line_items],B149)</f>
        <v>[_x000D_
  {_x000D_
    "product": {_x000D_
      "product_name": "Contoso Phone Tough Skin Case E140 Black",_x000D_
      "product_price": 23.72_x000D_
    },_x000D_
    "quantity": 2_x000D_
  }_x000D_
]</v>
      </c>
      <c r="H149" t="str">
        <f t="shared" si="8"/>
        <v>Contoso Phone Tough Skin Case E140 Black</v>
      </c>
      <c r="I149" s="4">
        <f t="shared" si="9"/>
        <v>2</v>
      </c>
      <c r="J149" s="3">
        <f t="shared" si="10"/>
        <v>23.72</v>
      </c>
      <c r="K149">
        <f t="shared" si="11"/>
        <v>47.44</v>
      </c>
    </row>
    <row r="150" spans="1:11" x14ac:dyDescent="0.3">
      <c r="A150">
        <v>149</v>
      </c>
      <c r="B150">
        <f>_xlfn.XMATCH(A150,sales_orders[acu_items],1)</f>
        <v>66</v>
      </c>
      <c r="C150" cm="1">
        <f t="array" ref="C150">A150-IF(B150=1,0,INDEX(sales_orders[acu_items],B150-1))</f>
        <v>1</v>
      </c>
      <c r="D150" cm="1">
        <f t="array" ref="D150">INDEX(sales_orders[order_number],B150)</f>
        <v>1711012</v>
      </c>
      <c r="E150" s="1" cm="1">
        <f t="array" ref="E150">INDEX(sales_orders[order_date],B150)</f>
        <v>43715</v>
      </c>
      <c r="F150" t="str" cm="1">
        <f t="array" ref="F150">INDEX(sales_orders[fulfillment],B150)</f>
        <v>In store</v>
      </c>
      <c r="G150" t="str" cm="1">
        <f t="array" ref="G150">INDEX(sales_orders[line_items],B150)</f>
        <v>[_x000D_
  {_x000D_
    "product": {_x000D_
      "product_name": "Reusable Phone Screen Protector E120",_x000D_
      "product_price": 2.94_x000D_
    },_x000D_
    "quantity": 4_x000D_
  },_x000D_
  {_x000D_
    "product": {_x000D_
      "product_name": "MGS Age of Empires, 2009 E182",_x000D_
      "product_price": 32_x000D_
    },_x000D_
    "quantity": 7_x000D_
  }_x000D_
]</v>
      </c>
      <c r="H150" t="str">
        <f t="shared" si="8"/>
        <v>Reusable Phone Screen Protector E120</v>
      </c>
      <c r="I150" s="4">
        <f t="shared" si="9"/>
        <v>4</v>
      </c>
      <c r="J150" s="3">
        <f t="shared" si="10"/>
        <v>2.94</v>
      </c>
      <c r="K150">
        <f t="shared" si="11"/>
        <v>11.76</v>
      </c>
    </row>
    <row r="151" spans="1:11" x14ac:dyDescent="0.3">
      <c r="A151">
        <v>150</v>
      </c>
      <c r="B151">
        <f>_xlfn.XMATCH(A151,sales_orders[acu_items],1)</f>
        <v>66</v>
      </c>
      <c r="C151" cm="1">
        <f t="array" ref="C151">A151-IF(B151=1,0,INDEX(sales_orders[acu_items],B151-1))</f>
        <v>2</v>
      </c>
      <c r="D151" cm="1">
        <f t="array" ref="D151">INDEX(sales_orders[order_number],B151)</f>
        <v>1711012</v>
      </c>
      <c r="E151" s="1" cm="1">
        <f t="array" ref="E151">INDEX(sales_orders[order_date],B151)</f>
        <v>43715</v>
      </c>
      <c r="F151" t="str" cm="1">
        <f t="array" ref="F151">INDEX(sales_orders[fulfillment],B151)</f>
        <v>In store</v>
      </c>
      <c r="G151" t="str" cm="1">
        <f t="array" ref="G151">INDEX(sales_orders[line_items],B151)</f>
        <v>[_x000D_
  {_x000D_
    "product": {_x000D_
      "product_name": "Reusable Phone Screen Protector E120",_x000D_
      "product_price": 2.94_x000D_
    },_x000D_
    "quantity": 4_x000D_
  },_x000D_
  {_x000D_
    "product": {_x000D_
      "product_name": "MGS Age of Empires, 2009 E182",_x000D_
      "product_price": 32_x000D_
    },_x000D_
    "quantity": 7_x000D_
  }_x000D_
]</v>
      </c>
      <c r="H151" t="str">
        <f t="shared" si="8"/>
        <v>MGS Age of Empires, 2009 E182</v>
      </c>
      <c r="I151" s="4">
        <f t="shared" si="9"/>
        <v>7</v>
      </c>
      <c r="J151" s="3">
        <f t="shared" si="10"/>
        <v>32</v>
      </c>
      <c r="K151">
        <f t="shared" si="11"/>
        <v>224</v>
      </c>
    </row>
    <row r="152" spans="1:11" x14ac:dyDescent="0.3">
      <c r="A152">
        <v>151</v>
      </c>
      <c r="B152">
        <f>_xlfn.XMATCH(A152,sales_orders[acu_items],1)</f>
        <v>67</v>
      </c>
      <c r="C152" cm="1">
        <f t="array" ref="C152">A152-IF(B152=1,0,INDEX(sales_orders[acu_items],B152-1))</f>
        <v>1</v>
      </c>
      <c r="D152" cm="1">
        <f t="array" ref="D152">INDEX(sales_orders[order_number],B152)</f>
        <v>1715004</v>
      </c>
      <c r="E152" s="1" cm="1">
        <f t="array" ref="E152">INDEX(sales_orders[order_date],B152)</f>
        <v>43719</v>
      </c>
      <c r="F152" t="str" cm="1">
        <f t="array" ref="F152">INDEX(sales_orders[fulfillment],B152)</f>
        <v>In store</v>
      </c>
      <c r="G152" t="str" cm="1">
        <f t="array" ref="G152">INDEX(sales_orders[line_items],B152)</f>
        <v>[_x000D_
  {_x000D_
    "product": {_x000D_
      "product_name": "SV DVD 14-Inch Player Portable L100 Silver",_x000D_
      "product_price": 259.99_x000D_
    },_x000D_
    "quantity": 4_x000D_
  },_x000D_
  {_x000D_
    "product": {_x000D_
      "product_name": "Proseware Office Jet Wireless All-in-One Inkjet Printer M600 Grey",_x000D_
      "product_price": 190_x000D_
    },_x000D_
    "quantity": 4_x000D_
  },_x000D_
  {_x000D_
    "product": {_x000D_
      "product_name": "MGS MechWarrior 4: Vengeance X800",_x000D_
      "product_price": 104.89_x000D_
    },_x000D_
    "quantity": 1_x000D_
  }_x000D_
]</v>
      </c>
      <c r="H152" t="str">
        <f t="shared" si="8"/>
        <v>SV DVD 14-Inch Player Portable L100 Silver</v>
      </c>
      <c r="I152" s="4">
        <f t="shared" si="9"/>
        <v>4</v>
      </c>
      <c r="J152" s="3">
        <f t="shared" si="10"/>
        <v>259.99</v>
      </c>
      <c r="K152">
        <f t="shared" si="11"/>
        <v>1039.96</v>
      </c>
    </row>
    <row r="153" spans="1:11" x14ac:dyDescent="0.3">
      <c r="A153">
        <v>152</v>
      </c>
      <c r="B153">
        <f>_xlfn.XMATCH(A153,sales_orders[acu_items],1)</f>
        <v>67</v>
      </c>
      <c r="C153" cm="1">
        <f t="array" ref="C153">A153-IF(B153=1,0,INDEX(sales_orders[acu_items],B153-1))</f>
        <v>2</v>
      </c>
      <c r="D153" cm="1">
        <f t="array" ref="D153">INDEX(sales_orders[order_number],B153)</f>
        <v>1715004</v>
      </c>
      <c r="E153" s="1" cm="1">
        <f t="array" ref="E153">INDEX(sales_orders[order_date],B153)</f>
        <v>43719</v>
      </c>
      <c r="F153" t="str" cm="1">
        <f t="array" ref="F153">INDEX(sales_orders[fulfillment],B153)</f>
        <v>In store</v>
      </c>
      <c r="G153" t="str" cm="1">
        <f t="array" ref="G153">INDEX(sales_orders[line_items],B153)</f>
        <v>[_x000D_
  {_x000D_
    "product": {_x000D_
      "product_name": "SV DVD 14-Inch Player Portable L100 Silver",_x000D_
      "product_price": 259.99_x000D_
    },_x000D_
    "quantity": 4_x000D_
  },_x000D_
  {_x000D_
    "product": {_x000D_
      "product_name": "Proseware Office Jet Wireless All-in-One Inkjet Printer M600 Grey",_x000D_
      "product_price": 190_x000D_
    },_x000D_
    "quantity": 4_x000D_
  },_x000D_
  {_x000D_
    "product": {_x000D_
      "product_name": "MGS MechWarrior 4: Vengeance X800",_x000D_
      "product_price": 104.89_x000D_
    },_x000D_
    "quantity": 1_x000D_
  }_x000D_
]</v>
      </c>
      <c r="H153" t="str">
        <f t="shared" si="8"/>
        <v>Proseware Office Jet Wireless All-in-One Inkjet Printer M600 Grey</v>
      </c>
      <c r="I153" s="4">
        <f t="shared" si="9"/>
        <v>4</v>
      </c>
      <c r="J153" s="3">
        <f t="shared" si="10"/>
        <v>190</v>
      </c>
      <c r="K153">
        <f t="shared" si="11"/>
        <v>760</v>
      </c>
    </row>
    <row r="154" spans="1:11" x14ac:dyDescent="0.3">
      <c r="A154">
        <v>153</v>
      </c>
      <c r="B154">
        <f>_xlfn.XMATCH(A154,sales_orders[acu_items],1)</f>
        <v>67</v>
      </c>
      <c r="C154" cm="1">
        <f t="array" ref="C154">A154-IF(B154=1,0,INDEX(sales_orders[acu_items],B154-1))</f>
        <v>3</v>
      </c>
      <c r="D154" cm="1">
        <f t="array" ref="D154">INDEX(sales_orders[order_number],B154)</f>
        <v>1715004</v>
      </c>
      <c r="E154" s="1" cm="1">
        <f t="array" ref="E154">INDEX(sales_orders[order_date],B154)</f>
        <v>43719</v>
      </c>
      <c r="F154" t="str" cm="1">
        <f t="array" ref="F154">INDEX(sales_orders[fulfillment],B154)</f>
        <v>In store</v>
      </c>
      <c r="G154" t="str" cm="1">
        <f t="array" ref="G154">INDEX(sales_orders[line_items],B154)</f>
        <v>[_x000D_
  {_x000D_
    "product": {_x000D_
      "product_name": "SV DVD 14-Inch Player Portable L100 Silver",_x000D_
      "product_price": 259.99_x000D_
    },_x000D_
    "quantity": 4_x000D_
  },_x000D_
  {_x000D_
    "product": {_x000D_
      "product_name": "Proseware Office Jet Wireless All-in-One Inkjet Printer M600 Grey",_x000D_
      "product_price": 190_x000D_
    },_x000D_
    "quantity": 4_x000D_
  },_x000D_
  {_x000D_
    "product": {_x000D_
      "product_name": "MGS MechWarrior 4: Vengeance X800",_x000D_
      "product_price": 104.89_x000D_
    },_x000D_
    "quantity": 1_x000D_
  }_x000D_
]</v>
      </c>
      <c r="H154" t="str">
        <f t="shared" si="8"/>
        <v>MGS MechWarrior 4: Vengeance X800</v>
      </c>
      <c r="I154" s="4">
        <f t="shared" si="9"/>
        <v>1</v>
      </c>
      <c r="J154" s="3">
        <f t="shared" si="10"/>
        <v>104.89</v>
      </c>
      <c r="K154">
        <f t="shared" si="11"/>
        <v>104.89</v>
      </c>
    </row>
    <row r="155" spans="1:11" x14ac:dyDescent="0.3">
      <c r="A155">
        <v>154</v>
      </c>
      <c r="B155">
        <f>_xlfn.XMATCH(A155,sales_orders[acu_items],1)</f>
        <v>68</v>
      </c>
      <c r="C155" cm="1">
        <f t="array" ref="C155">A155-IF(B155=1,0,INDEX(sales_orders[acu_items],B155-1))</f>
        <v>1</v>
      </c>
      <c r="D155" cm="1">
        <f t="array" ref="D155">INDEX(sales_orders[order_number],B155)</f>
        <v>1731020</v>
      </c>
      <c r="E155" s="1" cm="1">
        <f t="array" ref="E155">INDEX(sales_orders[order_date],B155)</f>
        <v>43735</v>
      </c>
      <c r="F155" t="str" cm="1">
        <f t="array" ref="F155">INDEX(sales_orders[fulfillment],B155)</f>
        <v>Online</v>
      </c>
      <c r="G155" t="str" cm="1">
        <f t="array" ref="G155">INDEX(sales_orders[line_items],B155)</f>
        <v>[_x000D_
  {_x000D_
    "product": {_x000D_
      "product_name": "MGS Kings &amp; Myths: The Age Collection2009 E147",_x000D_
      "product_price": 43_x000D_
    },_x000D_
    "quantity": 6_x000D_
  }_x000D_
]</v>
      </c>
      <c r="H155" t="str">
        <f t="shared" si="8"/>
        <v>MGS Kings &amp; Myths: The Age Collection2009 E147</v>
      </c>
      <c r="I155" s="4">
        <f t="shared" si="9"/>
        <v>6</v>
      </c>
      <c r="J155" s="3">
        <f t="shared" si="10"/>
        <v>43</v>
      </c>
      <c r="K155">
        <f t="shared" si="11"/>
        <v>258</v>
      </c>
    </row>
    <row r="156" spans="1:11" x14ac:dyDescent="0.3">
      <c r="A156">
        <v>155</v>
      </c>
      <c r="B156">
        <f>_xlfn.XMATCH(A156,sales_orders[acu_items],1)</f>
        <v>69</v>
      </c>
      <c r="C156" cm="1">
        <f t="array" ref="C156">A156-IF(B156=1,0,INDEX(sales_orders[acu_items],B156-1))</f>
        <v>1</v>
      </c>
      <c r="D156" cm="1">
        <f t="array" ref="D156">INDEX(sales_orders[order_number],B156)</f>
        <v>1735000</v>
      </c>
      <c r="E156" s="1" cm="1">
        <f t="array" ref="E156">INDEX(sales_orders[order_date],B156)</f>
        <v>43739</v>
      </c>
      <c r="F156" t="str" cm="1">
        <f t="array" ref="F156">INDEX(sales_orders[fulfillment],B156)</f>
        <v>In store</v>
      </c>
      <c r="G156" t="str" cm="1">
        <f t="array" ref="G156">INDEX(sales_orders[line_items],B156)</f>
        <v>[_x000D_
  {_x000D_
    "product": {_x000D_
      "product_name": "NT Wireless Transmitter and Bluetooth Headphones M150 Red",_x000D_
      "product_price": 149.99_x000D_
    },_x000D_
    "quantity": 2_x000D_
  }_x000D_
]</v>
      </c>
      <c r="H156" t="str">
        <f t="shared" si="8"/>
        <v>NT Wireless Transmitter and Bluetooth Headphones M150 Red</v>
      </c>
      <c r="I156" s="4">
        <f t="shared" si="9"/>
        <v>2</v>
      </c>
      <c r="J156" s="3">
        <f t="shared" si="10"/>
        <v>149.99</v>
      </c>
      <c r="K156">
        <f t="shared" si="11"/>
        <v>299.98</v>
      </c>
    </row>
    <row r="157" spans="1:11" x14ac:dyDescent="0.3">
      <c r="A157">
        <v>156</v>
      </c>
      <c r="B157">
        <f>_xlfn.XMATCH(A157,sales_orders[acu_items],1)</f>
        <v>70</v>
      </c>
      <c r="C157" cm="1">
        <f t="array" ref="C157">A157-IF(B157=1,0,INDEX(sales_orders[acu_items],B157-1))</f>
        <v>1</v>
      </c>
      <c r="D157" cm="1">
        <f t="array" ref="D157">INDEX(sales_orders[order_number],B157)</f>
        <v>1737027</v>
      </c>
      <c r="E157" s="1" cm="1">
        <f t="array" ref="E157">INDEX(sales_orders[order_date],B157)</f>
        <v>43741</v>
      </c>
      <c r="F157" t="str" cm="1">
        <f t="array" ref="F157">INDEX(sales_orders[fulfillment],B157)</f>
        <v>In store</v>
      </c>
      <c r="G157" t="str" cm="1">
        <f t="array" ref="G157">INDEX(sales_orders[line_items],B157)</f>
        <v>[_x000D_
  {_x000D_
    "product": {_x000D_
      "product_name": "WWI Desktop PC1.80 E1800 Brown",_x000D_
      "product_price": 229.9_x000D_
    },_x000D_
    "quantity": 3_x000D_
  },_x000D_
  {_x000D_
    "product": {_x000D_
      "product_name": "Contoso SLR Camera X143 Silver",_x000D_
      "product_price": 646_x000D_
    },_x000D_
    "quantity": 3_x000D_
  },_x000D_
  {_x000D_
    "product": {_x000D_
      "product_name": "A. Datum Ultra Compact Digital Camera M190 Silver",_x000D_
      "product_price": 165_x000D_
    },_x000D_
    "quantity": 7_x000D_
  }_x000D_
]</v>
      </c>
      <c r="H157" t="str">
        <f t="shared" si="8"/>
        <v>WWI Desktop PC1.80 E1800 Brown</v>
      </c>
      <c r="I157" s="4">
        <f t="shared" si="9"/>
        <v>3</v>
      </c>
      <c r="J157" s="3">
        <f t="shared" si="10"/>
        <v>229.9</v>
      </c>
      <c r="K157">
        <f t="shared" si="11"/>
        <v>689.7</v>
      </c>
    </row>
    <row r="158" spans="1:11" x14ac:dyDescent="0.3">
      <c r="A158">
        <v>157</v>
      </c>
      <c r="B158">
        <f>_xlfn.XMATCH(A158,sales_orders[acu_items],1)</f>
        <v>70</v>
      </c>
      <c r="C158" cm="1">
        <f t="array" ref="C158">A158-IF(B158=1,0,INDEX(sales_orders[acu_items],B158-1))</f>
        <v>2</v>
      </c>
      <c r="D158" cm="1">
        <f t="array" ref="D158">INDEX(sales_orders[order_number],B158)</f>
        <v>1737027</v>
      </c>
      <c r="E158" s="1" cm="1">
        <f t="array" ref="E158">INDEX(sales_orders[order_date],B158)</f>
        <v>43741</v>
      </c>
      <c r="F158" t="str" cm="1">
        <f t="array" ref="F158">INDEX(sales_orders[fulfillment],B158)</f>
        <v>In store</v>
      </c>
      <c r="G158" t="str" cm="1">
        <f t="array" ref="G158">INDEX(sales_orders[line_items],B158)</f>
        <v>[_x000D_
  {_x000D_
    "product": {_x000D_
      "product_name": "WWI Desktop PC1.80 E1800 Brown",_x000D_
      "product_price": 229.9_x000D_
    },_x000D_
    "quantity": 3_x000D_
  },_x000D_
  {_x000D_
    "product": {_x000D_
      "product_name": "Contoso SLR Camera X143 Silver",_x000D_
      "product_price": 646_x000D_
    },_x000D_
    "quantity": 3_x000D_
  },_x000D_
  {_x000D_
    "product": {_x000D_
      "product_name": "A. Datum Ultra Compact Digital Camera M190 Silver",_x000D_
      "product_price": 165_x000D_
    },_x000D_
    "quantity": 7_x000D_
  }_x000D_
]</v>
      </c>
      <c r="H158" t="str">
        <f t="shared" si="8"/>
        <v>Contoso SLR Camera X143 Silver</v>
      </c>
      <c r="I158" s="4">
        <f t="shared" si="9"/>
        <v>3</v>
      </c>
      <c r="J158" s="3">
        <f t="shared" si="10"/>
        <v>646</v>
      </c>
      <c r="K158">
        <f t="shared" si="11"/>
        <v>1938</v>
      </c>
    </row>
    <row r="159" spans="1:11" x14ac:dyDescent="0.3">
      <c r="A159">
        <v>158</v>
      </c>
      <c r="B159">
        <f>_xlfn.XMATCH(A159,sales_orders[acu_items],1)</f>
        <v>70</v>
      </c>
      <c r="C159" cm="1">
        <f t="array" ref="C159">A159-IF(B159=1,0,INDEX(sales_orders[acu_items],B159-1))</f>
        <v>3</v>
      </c>
      <c r="D159" cm="1">
        <f t="array" ref="D159">INDEX(sales_orders[order_number],B159)</f>
        <v>1737027</v>
      </c>
      <c r="E159" s="1" cm="1">
        <f t="array" ref="E159">INDEX(sales_orders[order_date],B159)</f>
        <v>43741</v>
      </c>
      <c r="F159" t="str" cm="1">
        <f t="array" ref="F159">INDEX(sales_orders[fulfillment],B159)</f>
        <v>In store</v>
      </c>
      <c r="G159" t="str" cm="1">
        <f t="array" ref="G159">INDEX(sales_orders[line_items],B159)</f>
        <v>[_x000D_
  {_x000D_
    "product": {_x000D_
      "product_name": "WWI Desktop PC1.80 E1800 Brown",_x000D_
      "product_price": 229.9_x000D_
    },_x000D_
    "quantity": 3_x000D_
  },_x000D_
  {_x000D_
    "product": {_x000D_
      "product_name": "Contoso SLR Camera X143 Silver",_x000D_
      "product_price": 646_x000D_
    },_x000D_
    "quantity": 3_x000D_
  },_x000D_
  {_x000D_
    "product": {_x000D_
      "product_name": "A. Datum Ultra Compact Digital Camera M190 Silver",_x000D_
      "product_price": 165_x000D_
    },_x000D_
    "quantity": 7_x000D_
  }_x000D_
]</v>
      </c>
      <c r="H159" t="str">
        <f t="shared" si="8"/>
        <v>A. Datum Ultra Compact Digital Camera M190 Silver</v>
      </c>
      <c r="I159" s="4">
        <f t="shared" si="9"/>
        <v>7</v>
      </c>
      <c r="J159" s="3">
        <f t="shared" si="10"/>
        <v>165</v>
      </c>
      <c r="K159">
        <f t="shared" si="11"/>
        <v>1155</v>
      </c>
    </row>
    <row r="160" spans="1:11" x14ac:dyDescent="0.3">
      <c r="A160">
        <v>159</v>
      </c>
      <c r="B160">
        <f>_xlfn.XMATCH(A160,sales_orders[acu_items],1)</f>
        <v>71</v>
      </c>
      <c r="C160" cm="1">
        <f t="array" ref="C160">A160-IF(B160=1,0,INDEX(sales_orders[acu_items],B160-1))</f>
        <v>1</v>
      </c>
      <c r="D160" cm="1">
        <f t="array" ref="D160">INDEX(sales_orders[order_number],B160)</f>
        <v>1739033</v>
      </c>
      <c r="E160" s="1" cm="1">
        <f t="array" ref="E160">INDEX(sales_orders[order_date],B160)</f>
        <v>43743</v>
      </c>
      <c r="F160" t="str" cm="1">
        <f t="array" ref="F160">INDEX(sales_orders[fulfillment],B160)</f>
        <v>In store</v>
      </c>
      <c r="G160" t="str" cm="1">
        <f t="array" ref="G160">INDEX(sales_orders[line_items],B160)</f>
        <v>[_x000D_
  {_x000D_
    "product": {_x000D_
      "product_name": "The Phone Company PDA Palm 4.7 inch L850 Silver",_x000D_
      "product_price": 398_x000D_
    },_x000D_
    "quantity": 1_x000D_
  },_x000D_
  {_x000D_
    "product": {_x000D_
      "product_name": "WWI Desktop PC1.80 E1800 White",_x000D_
      "product_price": 229.9_x000D_
    },_x000D_
    "quantity": 8_x000D_
  },_x000D_
  {_x000D_
    "product": {_x000D_
      "product_name": "WWI Stereo Bluetooth Headphones New Generation M370 Orange",_x000D_
      "product_price": 132.99_x000D_
    },_x000D_
    "quantity": 3_x000D_
  }_x000D_
]</v>
      </c>
      <c r="H160" t="str">
        <f t="shared" si="8"/>
        <v>The Phone Company PDA Palm 4.7 inch L850 Silver</v>
      </c>
      <c r="I160" s="4">
        <f t="shared" si="9"/>
        <v>1</v>
      </c>
      <c r="J160" s="3">
        <f t="shared" si="10"/>
        <v>398</v>
      </c>
      <c r="K160">
        <f t="shared" si="11"/>
        <v>398</v>
      </c>
    </row>
    <row r="161" spans="1:11" x14ac:dyDescent="0.3">
      <c r="A161">
        <v>160</v>
      </c>
      <c r="B161">
        <f>_xlfn.XMATCH(A161,sales_orders[acu_items],1)</f>
        <v>71</v>
      </c>
      <c r="C161" cm="1">
        <f t="array" ref="C161">A161-IF(B161=1,0,INDEX(sales_orders[acu_items],B161-1))</f>
        <v>2</v>
      </c>
      <c r="D161" cm="1">
        <f t="array" ref="D161">INDEX(sales_orders[order_number],B161)</f>
        <v>1739033</v>
      </c>
      <c r="E161" s="1" cm="1">
        <f t="array" ref="E161">INDEX(sales_orders[order_date],B161)</f>
        <v>43743</v>
      </c>
      <c r="F161" t="str" cm="1">
        <f t="array" ref="F161">INDEX(sales_orders[fulfillment],B161)</f>
        <v>In store</v>
      </c>
      <c r="G161" t="str" cm="1">
        <f t="array" ref="G161">INDEX(sales_orders[line_items],B161)</f>
        <v>[_x000D_
  {_x000D_
    "product": {_x000D_
      "product_name": "The Phone Company PDA Palm 4.7 inch L850 Silver",_x000D_
      "product_price": 398_x000D_
    },_x000D_
    "quantity": 1_x000D_
  },_x000D_
  {_x000D_
    "product": {_x000D_
      "product_name": "WWI Desktop PC1.80 E1800 White",_x000D_
      "product_price": 229.9_x000D_
    },_x000D_
    "quantity": 8_x000D_
  },_x000D_
  {_x000D_
    "product": {_x000D_
      "product_name": "WWI Stereo Bluetooth Headphones New Generation M370 Orange",_x000D_
      "product_price": 132.99_x000D_
    },_x000D_
    "quantity": 3_x000D_
  }_x000D_
]</v>
      </c>
      <c r="H161" t="str">
        <f t="shared" si="8"/>
        <v>WWI Desktop PC1.80 E1800 White</v>
      </c>
      <c r="I161" s="4">
        <f t="shared" si="9"/>
        <v>8</v>
      </c>
      <c r="J161" s="3">
        <f t="shared" si="10"/>
        <v>229.9</v>
      </c>
      <c r="K161">
        <f t="shared" si="11"/>
        <v>1839.2</v>
      </c>
    </row>
    <row r="162" spans="1:11" x14ac:dyDescent="0.3">
      <c r="A162">
        <v>161</v>
      </c>
      <c r="B162">
        <f>_xlfn.XMATCH(A162,sales_orders[acu_items],1)</f>
        <v>71</v>
      </c>
      <c r="C162" cm="1">
        <f t="array" ref="C162">A162-IF(B162=1,0,INDEX(sales_orders[acu_items],B162-1))</f>
        <v>3</v>
      </c>
      <c r="D162" cm="1">
        <f t="array" ref="D162">INDEX(sales_orders[order_number],B162)</f>
        <v>1739033</v>
      </c>
      <c r="E162" s="1" cm="1">
        <f t="array" ref="E162">INDEX(sales_orders[order_date],B162)</f>
        <v>43743</v>
      </c>
      <c r="F162" t="str" cm="1">
        <f t="array" ref="F162">INDEX(sales_orders[fulfillment],B162)</f>
        <v>In store</v>
      </c>
      <c r="G162" t="str" cm="1">
        <f t="array" ref="G162">INDEX(sales_orders[line_items],B162)</f>
        <v>[_x000D_
  {_x000D_
    "product": {_x000D_
      "product_name": "The Phone Company PDA Palm 4.7 inch L850 Silver",_x000D_
      "product_price": 398_x000D_
    },_x000D_
    "quantity": 1_x000D_
  },_x000D_
  {_x000D_
    "product": {_x000D_
      "product_name": "WWI Desktop PC1.80 E1800 White",_x000D_
      "product_price": 229.9_x000D_
    },_x000D_
    "quantity": 8_x000D_
  },_x000D_
  {_x000D_
    "product": {_x000D_
      "product_name": "WWI Stereo Bluetooth Headphones New Generation M370 Orange",_x000D_
      "product_price": 132.99_x000D_
    },_x000D_
    "quantity": 3_x000D_
  }_x000D_
]</v>
      </c>
      <c r="H162" t="str">
        <f t="shared" si="8"/>
        <v>WWI Stereo Bluetooth Headphones New Generation M370 Orange</v>
      </c>
      <c r="I162" s="4">
        <f t="shared" si="9"/>
        <v>3</v>
      </c>
      <c r="J162" s="3">
        <f t="shared" si="10"/>
        <v>132.99</v>
      </c>
      <c r="K162">
        <f t="shared" si="11"/>
        <v>398.97</v>
      </c>
    </row>
    <row r="163" spans="1:11" x14ac:dyDescent="0.3">
      <c r="A163">
        <v>162</v>
      </c>
      <c r="B163">
        <f>_xlfn.XMATCH(A163,sales_orders[acu_items],1)</f>
        <v>72</v>
      </c>
      <c r="C163" cm="1">
        <f t="array" ref="C163">A163-IF(B163=1,0,INDEX(sales_orders[acu_items],B163-1))</f>
        <v>1</v>
      </c>
      <c r="D163" cm="1">
        <f t="array" ref="D163">INDEX(sales_orders[order_number],B163)</f>
        <v>1751011</v>
      </c>
      <c r="E163" s="1" cm="1">
        <f t="array" ref="E163">INDEX(sales_orders[order_date],B163)</f>
        <v>43755</v>
      </c>
      <c r="F163" t="str" cm="1">
        <f t="array" ref="F163">INDEX(sales_orders[fulfillment],B163)</f>
        <v>In store</v>
      </c>
      <c r="G163" t="str" cm="1">
        <f t="array" ref="G163">INDEX(sales_orders[line_items],B163)</f>
        <v>[_x000D_
  {_x000D_
    "product": {_x000D_
      "product_name": "NT Wireless Transmitter and Bluetooth Headphones M150 Red",_x000D_
      "product_price": 149.99_x000D_
    },_x000D_
    "quantity": 1_x000D_
  },_x000D_
  {_x000D_
    "product": {_x000D_
      "product_name": "MGS Freelancer E113",_x000D_
      "product_price": 28_x000D_
    },_x000D_
    "quantity": 2_x000D_
  },_x000D_
  {_x000D_
    "product": {_x000D_
      "product_name": "Contoso Conversion Lens M550 Silver",_x000D_
      "product_price": 205_x000D_
    },_x000D_
    "quantity": 1_x000D_
  }_x000D_
]</v>
      </c>
      <c r="H163" t="str">
        <f t="shared" si="8"/>
        <v>NT Wireless Transmitter and Bluetooth Headphones M150 Red</v>
      </c>
      <c r="I163" s="4">
        <f t="shared" si="9"/>
        <v>1</v>
      </c>
      <c r="J163" s="3">
        <f t="shared" si="10"/>
        <v>149.99</v>
      </c>
      <c r="K163">
        <f t="shared" si="11"/>
        <v>149.99</v>
      </c>
    </row>
    <row r="164" spans="1:11" x14ac:dyDescent="0.3">
      <c r="A164">
        <v>163</v>
      </c>
      <c r="B164">
        <f>_xlfn.XMATCH(A164,sales_orders[acu_items],1)</f>
        <v>72</v>
      </c>
      <c r="C164" cm="1">
        <f t="array" ref="C164">A164-IF(B164=1,0,INDEX(sales_orders[acu_items],B164-1))</f>
        <v>2</v>
      </c>
      <c r="D164" cm="1">
        <f t="array" ref="D164">INDEX(sales_orders[order_number],B164)</f>
        <v>1751011</v>
      </c>
      <c r="E164" s="1" cm="1">
        <f t="array" ref="E164">INDEX(sales_orders[order_date],B164)</f>
        <v>43755</v>
      </c>
      <c r="F164" t="str" cm="1">
        <f t="array" ref="F164">INDEX(sales_orders[fulfillment],B164)</f>
        <v>In store</v>
      </c>
      <c r="G164" t="str" cm="1">
        <f t="array" ref="G164">INDEX(sales_orders[line_items],B164)</f>
        <v>[_x000D_
  {_x000D_
    "product": {_x000D_
      "product_name": "NT Wireless Transmitter and Bluetooth Headphones M150 Red",_x000D_
      "product_price": 149.99_x000D_
    },_x000D_
    "quantity": 1_x000D_
  },_x000D_
  {_x000D_
    "product": {_x000D_
      "product_name": "MGS Freelancer E113",_x000D_
      "product_price": 28_x000D_
    },_x000D_
    "quantity": 2_x000D_
  },_x000D_
  {_x000D_
    "product": {_x000D_
      "product_name": "Contoso Conversion Lens M550 Silver",_x000D_
      "product_price": 205_x000D_
    },_x000D_
    "quantity": 1_x000D_
  }_x000D_
]</v>
      </c>
      <c r="H164" t="str">
        <f t="shared" si="8"/>
        <v>MGS Freelancer E113</v>
      </c>
      <c r="I164" s="4">
        <f t="shared" si="9"/>
        <v>2</v>
      </c>
      <c r="J164" s="3">
        <f t="shared" si="10"/>
        <v>28</v>
      </c>
      <c r="K164">
        <f t="shared" si="11"/>
        <v>56</v>
      </c>
    </row>
    <row r="165" spans="1:11" x14ac:dyDescent="0.3">
      <c r="A165">
        <v>164</v>
      </c>
      <c r="B165">
        <f>_xlfn.XMATCH(A165,sales_orders[acu_items],1)</f>
        <v>72</v>
      </c>
      <c r="C165" cm="1">
        <f t="array" ref="C165">A165-IF(B165=1,0,INDEX(sales_orders[acu_items],B165-1))</f>
        <v>3</v>
      </c>
      <c r="D165" cm="1">
        <f t="array" ref="D165">INDEX(sales_orders[order_number],B165)</f>
        <v>1751011</v>
      </c>
      <c r="E165" s="1" cm="1">
        <f t="array" ref="E165">INDEX(sales_orders[order_date],B165)</f>
        <v>43755</v>
      </c>
      <c r="F165" t="str" cm="1">
        <f t="array" ref="F165">INDEX(sales_orders[fulfillment],B165)</f>
        <v>In store</v>
      </c>
      <c r="G165" t="str" cm="1">
        <f t="array" ref="G165">INDEX(sales_orders[line_items],B165)</f>
        <v>[_x000D_
  {_x000D_
    "product": {_x000D_
      "product_name": "NT Wireless Transmitter and Bluetooth Headphones M150 Red",_x000D_
      "product_price": 149.99_x000D_
    },_x000D_
    "quantity": 1_x000D_
  },_x000D_
  {_x000D_
    "product": {_x000D_
      "product_name": "MGS Freelancer E113",_x000D_
      "product_price": 28_x000D_
    },_x000D_
    "quantity": 2_x000D_
  },_x000D_
  {_x000D_
    "product": {_x000D_
      "product_name": "Contoso Conversion Lens M550 Silver",_x000D_
      "product_price": 205_x000D_
    },_x000D_
    "quantity": 1_x000D_
  }_x000D_
]</v>
      </c>
      <c r="H165" t="str">
        <f t="shared" si="8"/>
        <v>Contoso Conversion Lens M550 Silver</v>
      </c>
      <c r="I165" s="4">
        <f t="shared" si="9"/>
        <v>1</v>
      </c>
      <c r="J165" s="3">
        <f t="shared" si="10"/>
        <v>205</v>
      </c>
      <c r="K165">
        <f t="shared" si="11"/>
        <v>205</v>
      </c>
    </row>
    <row r="166" spans="1:11" x14ac:dyDescent="0.3">
      <c r="A166">
        <v>165</v>
      </c>
      <c r="B166">
        <f>_xlfn.XMATCH(A166,sales_orders[acu_items],1)</f>
        <v>73</v>
      </c>
      <c r="C166" cm="1">
        <f t="array" ref="C166">A166-IF(B166=1,0,INDEX(sales_orders[acu_items],B166-1))</f>
        <v>1</v>
      </c>
      <c r="D166" cm="1">
        <f t="array" ref="D166">INDEX(sales_orders[order_number],B166)</f>
        <v>1753031</v>
      </c>
      <c r="E166" s="1" cm="1">
        <f t="array" ref="E166">INDEX(sales_orders[order_date],B166)</f>
        <v>43757</v>
      </c>
      <c r="F166" t="str" cm="1">
        <f t="array" ref="F166">INDEX(sales_orders[fulfillment],B166)</f>
        <v>In store</v>
      </c>
      <c r="G166" t="str" cm="1">
        <f t="array" ref="G166">INDEX(sales_orders[line_items],B166)</f>
        <v>[_x000D_
  {_x000D_
    "product": {_x000D_
      "product_name": "WWI 1GBPulse Smart pen E50 Black",_x000D_
      "product_price": 149.95_x000D_
    },_x000D_
    "quantity": 1_x000D_
  },_x000D_
  {_x000D_
    "product": {_x000D_
      "product_name": "Contoso DVD Player M100 Black",_x000D_
      "product_price": 56.99_x000D_
    },_x000D_
    "quantity": 3_x000D_
  }_x000D_
]</v>
      </c>
      <c r="H166" t="str">
        <f t="shared" si="8"/>
        <v>WWI 1GBPulse Smart pen E50 Black</v>
      </c>
      <c r="I166" s="4">
        <f t="shared" si="9"/>
        <v>1</v>
      </c>
      <c r="J166" s="3">
        <f t="shared" si="10"/>
        <v>149.94999999999999</v>
      </c>
      <c r="K166">
        <f t="shared" si="11"/>
        <v>149.94999999999999</v>
      </c>
    </row>
    <row r="167" spans="1:11" x14ac:dyDescent="0.3">
      <c r="A167">
        <v>166</v>
      </c>
      <c r="B167">
        <f>_xlfn.XMATCH(A167,sales_orders[acu_items],1)</f>
        <v>73</v>
      </c>
      <c r="C167" cm="1">
        <f t="array" ref="C167">A167-IF(B167=1,0,INDEX(sales_orders[acu_items],B167-1))</f>
        <v>2</v>
      </c>
      <c r="D167" cm="1">
        <f t="array" ref="D167">INDEX(sales_orders[order_number],B167)</f>
        <v>1753031</v>
      </c>
      <c r="E167" s="1" cm="1">
        <f t="array" ref="E167">INDEX(sales_orders[order_date],B167)</f>
        <v>43757</v>
      </c>
      <c r="F167" t="str" cm="1">
        <f t="array" ref="F167">INDEX(sales_orders[fulfillment],B167)</f>
        <v>In store</v>
      </c>
      <c r="G167" t="str" cm="1">
        <f t="array" ref="G167">INDEX(sales_orders[line_items],B167)</f>
        <v>[_x000D_
  {_x000D_
    "product": {_x000D_
      "product_name": "WWI 1GBPulse Smart pen E50 Black",_x000D_
      "product_price": 149.95_x000D_
    },_x000D_
    "quantity": 1_x000D_
  },_x000D_
  {_x000D_
    "product": {_x000D_
      "product_name": "Contoso DVD Player M100 Black",_x000D_
      "product_price": 56.99_x000D_
    },_x000D_
    "quantity": 3_x000D_
  }_x000D_
]</v>
      </c>
      <c r="H167" t="str">
        <f t="shared" si="8"/>
        <v>Contoso DVD Player M100 Black</v>
      </c>
      <c r="I167" s="4">
        <f t="shared" si="9"/>
        <v>3</v>
      </c>
      <c r="J167" s="3">
        <f t="shared" si="10"/>
        <v>56.99</v>
      </c>
      <c r="K167">
        <f t="shared" si="11"/>
        <v>170.97</v>
      </c>
    </row>
    <row r="168" spans="1:11" x14ac:dyDescent="0.3">
      <c r="A168">
        <v>167</v>
      </c>
      <c r="B168">
        <f>_xlfn.XMATCH(A168,sales_orders[acu_items],1)</f>
        <v>74</v>
      </c>
      <c r="C168" cm="1">
        <f t="array" ref="C168">A168-IF(B168=1,0,INDEX(sales_orders[acu_items],B168-1))</f>
        <v>1</v>
      </c>
      <c r="D168" cm="1">
        <f t="array" ref="D168">INDEX(sales_orders[order_number],B168)</f>
        <v>1769017</v>
      </c>
      <c r="E168" s="1" cm="1">
        <f t="array" ref="E168">INDEX(sales_orders[order_date],B168)</f>
        <v>43773</v>
      </c>
      <c r="F168" t="str" cm="1">
        <f t="array" ref="F168">INDEX(sales_orders[fulfillment],B168)</f>
        <v>In store</v>
      </c>
      <c r="G168" t="str" cm="1">
        <f t="array" ref="G168">INDEX(sales_orders[line_items],B168)</f>
        <v>[_x000D_
  {_x000D_
    "product": {_x000D_
      "product_name": "Adventure Works 19 Color Digital TV E35 Black",_x000D_
      "product_price": 143.4_x000D_
    },_x000D_
    "quantity": 4_x000D_
  },_x000D_
  {_x000D_
    "product": {_x000D_
      "product_name": "Adventure Works Desktop PC1.60 ED160 Brown",_x000D_
      "product_price": 269.95_x000D_
    },_x000D_
    "quantity": 3_x000D_
  }_x000D_
]</v>
      </c>
      <c r="H168" t="str">
        <f t="shared" si="8"/>
        <v>Adventure Works 19 Color Digital TV E35 Black</v>
      </c>
      <c r="I168" s="4">
        <f t="shared" si="9"/>
        <v>4</v>
      </c>
      <c r="J168" s="3">
        <f t="shared" si="10"/>
        <v>143.4</v>
      </c>
      <c r="K168">
        <f t="shared" si="11"/>
        <v>573.6</v>
      </c>
    </row>
    <row r="169" spans="1:11" x14ac:dyDescent="0.3">
      <c r="A169">
        <v>168</v>
      </c>
      <c r="B169">
        <f>_xlfn.XMATCH(A169,sales_orders[acu_items],1)</f>
        <v>74</v>
      </c>
      <c r="C169" cm="1">
        <f t="array" ref="C169">A169-IF(B169=1,0,INDEX(sales_orders[acu_items],B169-1))</f>
        <v>2</v>
      </c>
      <c r="D169" cm="1">
        <f t="array" ref="D169">INDEX(sales_orders[order_number],B169)</f>
        <v>1769017</v>
      </c>
      <c r="E169" s="1" cm="1">
        <f t="array" ref="E169">INDEX(sales_orders[order_date],B169)</f>
        <v>43773</v>
      </c>
      <c r="F169" t="str" cm="1">
        <f t="array" ref="F169">INDEX(sales_orders[fulfillment],B169)</f>
        <v>In store</v>
      </c>
      <c r="G169" t="str" cm="1">
        <f t="array" ref="G169">INDEX(sales_orders[line_items],B169)</f>
        <v>[_x000D_
  {_x000D_
    "product": {_x000D_
      "product_name": "Adventure Works 19 Color Digital TV E35 Black",_x000D_
      "product_price": 143.4_x000D_
    },_x000D_
    "quantity": 4_x000D_
  },_x000D_
  {_x000D_
    "product": {_x000D_
      "product_name": "Adventure Works Desktop PC1.60 ED160 Brown",_x000D_
      "product_price": 269.95_x000D_
    },_x000D_
    "quantity": 3_x000D_
  }_x000D_
]</v>
      </c>
      <c r="H169" t="str">
        <f t="shared" si="8"/>
        <v>Adventure Works Desktop PC1.60 ED160 Brown</v>
      </c>
      <c r="I169" s="4">
        <f t="shared" si="9"/>
        <v>3</v>
      </c>
      <c r="J169" s="3">
        <f t="shared" si="10"/>
        <v>269.95</v>
      </c>
      <c r="K169">
        <f t="shared" si="11"/>
        <v>809.84999999999991</v>
      </c>
    </row>
    <row r="170" spans="1:11" x14ac:dyDescent="0.3">
      <c r="A170">
        <v>169</v>
      </c>
      <c r="B170">
        <f>_xlfn.XMATCH(A170,sales_orders[acu_items],1)</f>
        <v>75</v>
      </c>
      <c r="C170" cm="1">
        <f t="array" ref="C170">A170-IF(B170=1,0,INDEX(sales_orders[acu_items],B170-1))</f>
        <v>1</v>
      </c>
      <c r="D170" cm="1">
        <f t="array" ref="D170">INDEX(sales_orders[order_number],B170)</f>
        <v>1779006</v>
      </c>
      <c r="E170" s="1" cm="1">
        <f t="array" ref="E170">INDEX(sales_orders[order_date],B170)</f>
        <v>43783</v>
      </c>
      <c r="F170" t="str" cm="1">
        <f t="array" ref="F170">INDEX(sales_orders[fulfillment],B170)</f>
        <v>In store</v>
      </c>
      <c r="G170" t="str" cm="1">
        <f t="array" ref="G170">INDEX(sales_orders[line_items],B170)</f>
        <v>[_x000D_
  {_x000D_
    "product": {_x000D_
      "product_name": "Contoso Finger Touch Screen Phones M30 Black",_x000D_
      "product_price": 199_x000D_
    },_x000D_
    "quantity": 7_x000D_
  }_x000D_
]</v>
      </c>
      <c r="H170" t="str">
        <f t="shared" si="8"/>
        <v>Contoso Finger Touch Screen Phones M30 Black</v>
      </c>
      <c r="I170" s="4">
        <f t="shared" si="9"/>
        <v>7</v>
      </c>
      <c r="J170" s="3">
        <f t="shared" si="10"/>
        <v>199</v>
      </c>
      <c r="K170">
        <f t="shared" si="11"/>
        <v>1393</v>
      </c>
    </row>
    <row r="171" spans="1:11" x14ac:dyDescent="0.3">
      <c r="A171">
        <v>170</v>
      </c>
      <c r="B171">
        <f>_xlfn.XMATCH(A171,sales_orders[acu_items],1)</f>
        <v>76</v>
      </c>
      <c r="C171" cm="1">
        <f t="array" ref="C171">A171-IF(B171=1,0,INDEX(sales_orders[acu_items],B171-1))</f>
        <v>1</v>
      </c>
      <c r="D171" cm="1">
        <f t="array" ref="D171">INDEX(sales_orders[order_number],B171)</f>
        <v>1798015</v>
      </c>
      <c r="E171" s="1" cm="1">
        <f t="array" ref="E171">INDEX(sales_orders[order_date],B171)</f>
        <v>43802</v>
      </c>
      <c r="F171" t="str" cm="1">
        <f t="array" ref="F171">INDEX(sales_orders[fulfillment],B171)</f>
        <v>In store</v>
      </c>
      <c r="G171" t="str" cm="1">
        <f t="array" ref="G171">INDEX(sales_orders[line_items],B171)</f>
        <v>[_x000D_
  {_x000D_
    "product": {_x000D_
      "product_name": "The Phone Company Microsoft Windows Mobile M200 White",_x000D_
      "product_price": 229_x000D_
    },_x000D_
    "quantity": 1_x000D_
  },_x000D_
  {_x000D_
    "product": {_x000D_
      "product_name": "Fabrikam Microwave 1.5CuFt X1100 Black",_x000D_
      "product_price": 665.94_x000D_
    },_x000D_
    "quantity": 8_x000D_
  }_x000D_
]</v>
      </c>
      <c r="H171" t="str">
        <f t="shared" si="8"/>
        <v>The Phone Company Microsoft Windows Mobile M200 White</v>
      </c>
      <c r="I171" s="4">
        <f t="shared" si="9"/>
        <v>1</v>
      </c>
      <c r="J171" s="3">
        <f t="shared" si="10"/>
        <v>229</v>
      </c>
      <c r="K171">
        <f t="shared" si="11"/>
        <v>229</v>
      </c>
    </row>
    <row r="172" spans="1:11" x14ac:dyDescent="0.3">
      <c r="A172">
        <v>171</v>
      </c>
      <c r="B172">
        <f>_xlfn.XMATCH(A172,sales_orders[acu_items],1)</f>
        <v>76</v>
      </c>
      <c r="C172" cm="1">
        <f t="array" ref="C172">A172-IF(B172=1,0,INDEX(sales_orders[acu_items],B172-1))</f>
        <v>2</v>
      </c>
      <c r="D172" cm="1">
        <f t="array" ref="D172">INDEX(sales_orders[order_number],B172)</f>
        <v>1798015</v>
      </c>
      <c r="E172" s="1" cm="1">
        <f t="array" ref="E172">INDEX(sales_orders[order_date],B172)</f>
        <v>43802</v>
      </c>
      <c r="F172" t="str" cm="1">
        <f t="array" ref="F172">INDEX(sales_orders[fulfillment],B172)</f>
        <v>In store</v>
      </c>
      <c r="G172" t="str" cm="1">
        <f t="array" ref="G172">INDEX(sales_orders[line_items],B172)</f>
        <v>[_x000D_
  {_x000D_
    "product": {_x000D_
      "product_name": "The Phone Company Microsoft Windows Mobile M200 White",_x000D_
      "product_price": 229_x000D_
    },_x000D_
    "quantity": 1_x000D_
  },_x000D_
  {_x000D_
    "product": {_x000D_
      "product_name": "Fabrikam Microwave 1.5CuFt X1100 Black",_x000D_
      "product_price": 665.94_x000D_
    },_x000D_
    "quantity": 8_x000D_
  }_x000D_
]</v>
      </c>
      <c r="H172" t="str">
        <f t="shared" si="8"/>
        <v>Fabrikam Microwave 1.5CuFt X1100 Black</v>
      </c>
      <c r="I172" s="4">
        <f t="shared" si="9"/>
        <v>8</v>
      </c>
      <c r="J172" s="3">
        <f t="shared" si="10"/>
        <v>665.94</v>
      </c>
      <c r="K172">
        <f t="shared" si="11"/>
        <v>5327.52</v>
      </c>
    </row>
    <row r="173" spans="1:11" x14ac:dyDescent="0.3">
      <c r="A173">
        <v>172</v>
      </c>
      <c r="B173">
        <f>_xlfn.XMATCH(A173,sales_orders[acu_items],1)</f>
        <v>77</v>
      </c>
      <c r="C173" cm="1">
        <f t="array" ref="C173">A173-IF(B173=1,0,INDEX(sales_orders[acu_items],B173-1))</f>
        <v>1</v>
      </c>
      <c r="D173" cm="1">
        <f t="array" ref="D173">INDEX(sales_orders[order_number],B173)</f>
        <v>1800023</v>
      </c>
      <c r="E173" s="1" cm="1">
        <f t="array" ref="E173">INDEX(sales_orders[order_date],B173)</f>
        <v>43804</v>
      </c>
      <c r="F173" t="str" cm="1">
        <f t="array" ref="F173">INDEX(sales_orders[fulfillment],B173)</f>
        <v>In store</v>
      </c>
      <c r="G173" t="str" cm="1">
        <f t="array" ref="G173">INDEX(sales_orders[line_items],B173)</f>
        <v>[_x000D_
  {_x000D_
    "product": {_x000D_
      "product_name": "Proseware High Speed Laser M2000 Green",_x000D_
      "product_price": 209_x000D_
    },_x000D_
    "quantity": 9_x000D_
  }_x000D_
]</v>
      </c>
      <c r="H173" t="str">
        <f t="shared" si="8"/>
        <v>Proseware High Speed Laser M2000 Green</v>
      </c>
      <c r="I173" s="4">
        <f t="shared" si="9"/>
        <v>9</v>
      </c>
      <c r="J173" s="3">
        <f t="shared" si="10"/>
        <v>209</v>
      </c>
      <c r="K173">
        <f t="shared" si="11"/>
        <v>1881</v>
      </c>
    </row>
    <row r="174" spans="1:11" x14ac:dyDescent="0.3">
      <c r="A174">
        <v>173</v>
      </c>
      <c r="B174">
        <f>_xlfn.XMATCH(A174,sales_orders[acu_items],1)</f>
        <v>78</v>
      </c>
      <c r="C174" cm="1">
        <f t="array" ref="C174">A174-IF(B174=1,0,INDEX(sales_orders[acu_items],B174-1))</f>
        <v>1</v>
      </c>
      <c r="D174" cm="1">
        <f t="array" ref="D174">INDEX(sales_orders[order_number],B174)</f>
        <v>1812007</v>
      </c>
      <c r="E174" s="1" cm="1">
        <f t="array" ref="E174">INDEX(sales_orders[order_date],B174)</f>
        <v>43816</v>
      </c>
      <c r="F174" t="str" cm="1">
        <f t="array" ref="F174">INDEX(sales_orders[fulfillment],B174)</f>
        <v>In store</v>
      </c>
      <c r="G174" t="str" cm="1">
        <f t="array" ref="G174">INDEX(sales_orders[line_items],B174)</f>
        <v>[_x000D_
  {_x000D_
    "product": {_x000D_
      "product_name": "A. Datum SLR Camera 35 X358 Orange",_x000D_
      "product_price": 588_x000D_
    },_x000D_
    "quantity": 9_x000D_
  },_x000D_
  {_x000D_
    "product": {_x000D_
      "product_name": "Adventure Works Desktop PC1.80 ED182 Brown",_x000D_
      "product_price": 499.9_x000D_
    },_x000D_
    "quantity": 4_x000D_
  }_x000D_
]</v>
      </c>
      <c r="H174" t="str">
        <f t="shared" si="8"/>
        <v>A. Datum SLR Camera 35 X358 Orange</v>
      </c>
      <c r="I174" s="4">
        <f t="shared" si="9"/>
        <v>9</v>
      </c>
      <c r="J174" s="3">
        <f t="shared" si="10"/>
        <v>588</v>
      </c>
      <c r="K174">
        <f t="shared" si="11"/>
        <v>5292</v>
      </c>
    </row>
    <row r="175" spans="1:11" x14ac:dyDescent="0.3">
      <c r="A175">
        <v>174</v>
      </c>
      <c r="B175">
        <f>_xlfn.XMATCH(A175,sales_orders[acu_items],1)</f>
        <v>78</v>
      </c>
      <c r="C175" cm="1">
        <f t="array" ref="C175">A175-IF(B175=1,0,INDEX(sales_orders[acu_items],B175-1))</f>
        <v>2</v>
      </c>
      <c r="D175" cm="1">
        <f t="array" ref="D175">INDEX(sales_orders[order_number],B175)</f>
        <v>1812007</v>
      </c>
      <c r="E175" s="1" cm="1">
        <f t="array" ref="E175">INDEX(sales_orders[order_date],B175)</f>
        <v>43816</v>
      </c>
      <c r="F175" t="str" cm="1">
        <f t="array" ref="F175">INDEX(sales_orders[fulfillment],B175)</f>
        <v>In store</v>
      </c>
      <c r="G175" t="str" cm="1">
        <f t="array" ref="G175">INDEX(sales_orders[line_items],B175)</f>
        <v>[_x000D_
  {_x000D_
    "product": {_x000D_
      "product_name": "A. Datum SLR Camera 35 X358 Orange",_x000D_
      "product_price": 588_x000D_
    },_x000D_
    "quantity": 9_x000D_
  },_x000D_
  {_x000D_
    "product": {_x000D_
      "product_name": "Adventure Works Desktop PC1.80 ED182 Brown",_x000D_
      "product_price": 499.9_x000D_
    },_x000D_
    "quantity": 4_x000D_
  }_x000D_
]</v>
      </c>
      <c r="H175" t="str">
        <f t="shared" si="8"/>
        <v>Adventure Works Desktop PC1.80 ED182 Brown</v>
      </c>
      <c r="I175" s="4">
        <f t="shared" si="9"/>
        <v>4</v>
      </c>
      <c r="J175" s="3">
        <f t="shared" si="10"/>
        <v>499.9</v>
      </c>
      <c r="K175">
        <f t="shared" si="11"/>
        <v>1999.6</v>
      </c>
    </row>
    <row r="176" spans="1:11" x14ac:dyDescent="0.3">
      <c r="A176">
        <v>175</v>
      </c>
      <c r="B176">
        <f>_xlfn.XMATCH(A176,sales_orders[acu_items],1)</f>
        <v>79</v>
      </c>
      <c r="C176" cm="1">
        <f t="array" ref="C176">A176-IF(B176=1,0,INDEX(sales_orders[acu_items],B176-1))</f>
        <v>1</v>
      </c>
      <c r="D176" cm="1">
        <f t="array" ref="D176">INDEX(sales_orders[order_number],B176)</f>
        <v>1813002</v>
      </c>
      <c r="E176" s="1" cm="1">
        <f t="array" ref="E176">INDEX(sales_orders[order_date],B176)</f>
        <v>43817</v>
      </c>
      <c r="F176" t="str" cm="1">
        <f t="array" ref="F176">INDEX(sales_orders[fulfillment],B176)</f>
        <v>In store</v>
      </c>
      <c r="G176" t="str" cm="1">
        <f t="array" ref="G176">INDEX(sales_orders[line_items],B176)</f>
        <v>[_x000D_
  {_x000D_
    "product": {_x000D_
      "product_name": "Contoso DVD 38 DVD Storage Binder E25 Red",_x000D_
      "product_price": 9.99_x000D_
    },_x000D_
    "quantity": 8_x000D_
  },_x000D_
  {_x000D_
    "product": {_x000D_
      "product_name": "MGS Hand Games for students E400 Black",_x000D_
      "product_price": 6.99_x000D_
    },_x000D_
    "quantity": 7_x000D_
  },_x000D_
  {_x000D_
    "product": {_x000D_
      "product_name": "The Phone Company Smart phones Unlocked International M800 Grey",_x000D_
      "product_price": 310_x000D_
    },_x000D_
    "quantity": 7_x000D_
  },_x000D_
  {_x000D_
    "product": {_x000D_
      "product_name": "Fabrikam Business Videographer 1'' 25mm M600 Black",_x000D_
      "product_price": 888_x000D_
    },_x000D_
    "quantity": 3_x000D_
  }_x000D_
]</v>
      </c>
      <c r="H176" t="str">
        <f t="shared" si="8"/>
        <v>Contoso DVD 38 DVD Storage Binder E25 Red</v>
      </c>
      <c r="I176" s="4">
        <f t="shared" si="9"/>
        <v>8</v>
      </c>
      <c r="J176" s="3">
        <f t="shared" si="10"/>
        <v>9.99</v>
      </c>
      <c r="K176">
        <f t="shared" si="11"/>
        <v>79.92</v>
      </c>
    </row>
    <row r="177" spans="1:11" x14ac:dyDescent="0.3">
      <c r="A177">
        <v>176</v>
      </c>
      <c r="B177">
        <f>_xlfn.XMATCH(A177,sales_orders[acu_items],1)</f>
        <v>79</v>
      </c>
      <c r="C177" cm="1">
        <f t="array" ref="C177">A177-IF(B177=1,0,INDEX(sales_orders[acu_items],B177-1))</f>
        <v>2</v>
      </c>
      <c r="D177" cm="1">
        <f t="array" ref="D177">INDEX(sales_orders[order_number],B177)</f>
        <v>1813002</v>
      </c>
      <c r="E177" s="1" cm="1">
        <f t="array" ref="E177">INDEX(sales_orders[order_date],B177)</f>
        <v>43817</v>
      </c>
      <c r="F177" t="str" cm="1">
        <f t="array" ref="F177">INDEX(sales_orders[fulfillment],B177)</f>
        <v>In store</v>
      </c>
      <c r="G177" t="str" cm="1">
        <f t="array" ref="G177">INDEX(sales_orders[line_items],B177)</f>
        <v>[_x000D_
  {_x000D_
    "product": {_x000D_
      "product_name": "Contoso DVD 38 DVD Storage Binder E25 Red",_x000D_
      "product_price": 9.99_x000D_
    },_x000D_
    "quantity": 8_x000D_
  },_x000D_
  {_x000D_
    "product": {_x000D_
      "product_name": "MGS Hand Games for students E400 Black",_x000D_
      "product_price": 6.99_x000D_
    },_x000D_
    "quantity": 7_x000D_
  },_x000D_
  {_x000D_
    "product": {_x000D_
      "product_name": "The Phone Company Smart phones Unlocked International M800 Grey",_x000D_
      "product_price": 310_x000D_
    },_x000D_
    "quantity": 7_x000D_
  },_x000D_
  {_x000D_
    "product": {_x000D_
      "product_name": "Fabrikam Business Videographer 1'' 25mm M600 Black",_x000D_
      "product_price": 888_x000D_
    },_x000D_
    "quantity": 3_x000D_
  }_x000D_
]</v>
      </c>
      <c r="H177" t="str">
        <f t="shared" si="8"/>
        <v>MGS Hand Games for students E400 Black</v>
      </c>
      <c r="I177" s="4">
        <f t="shared" si="9"/>
        <v>7</v>
      </c>
      <c r="J177" s="3">
        <f t="shared" si="10"/>
        <v>6.99</v>
      </c>
      <c r="K177">
        <f t="shared" si="11"/>
        <v>48.93</v>
      </c>
    </row>
    <row r="178" spans="1:11" x14ac:dyDescent="0.3">
      <c r="A178">
        <v>177</v>
      </c>
      <c r="B178">
        <f>_xlfn.XMATCH(A178,sales_orders[acu_items],1)</f>
        <v>79</v>
      </c>
      <c r="C178" cm="1">
        <f t="array" ref="C178">A178-IF(B178=1,0,INDEX(sales_orders[acu_items],B178-1))</f>
        <v>3</v>
      </c>
      <c r="D178" cm="1">
        <f t="array" ref="D178">INDEX(sales_orders[order_number],B178)</f>
        <v>1813002</v>
      </c>
      <c r="E178" s="1" cm="1">
        <f t="array" ref="E178">INDEX(sales_orders[order_date],B178)</f>
        <v>43817</v>
      </c>
      <c r="F178" t="str" cm="1">
        <f t="array" ref="F178">INDEX(sales_orders[fulfillment],B178)</f>
        <v>In store</v>
      </c>
      <c r="G178" t="str" cm="1">
        <f t="array" ref="G178">INDEX(sales_orders[line_items],B178)</f>
        <v>[_x000D_
  {_x000D_
    "product": {_x000D_
      "product_name": "Contoso DVD 38 DVD Storage Binder E25 Red",_x000D_
      "product_price": 9.99_x000D_
    },_x000D_
    "quantity": 8_x000D_
  },_x000D_
  {_x000D_
    "product": {_x000D_
      "product_name": "MGS Hand Games for students E400 Black",_x000D_
      "product_price": 6.99_x000D_
    },_x000D_
    "quantity": 7_x000D_
  },_x000D_
  {_x000D_
    "product": {_x000D_
      "product_name": "The Phone Company Smart phones Unlocked International M800 Grey",_x000D_
      "product_price": 310_x000D_
    },_x000D_
    "quantity": 7_x000D_
  },_x000D_
  {_x000D_
    "product": {_x000D_
      "product_name": "Fabrikam Business Videographer 1'' 25mm M600 Black",_x000D_
      "product_price": 888_x000D_
    },_x000D_
    "quantity": 3_x000D_
  }_x000D_
]</v>
      </c>
      <c r="H178" t="str">
        <f t="shared" si="8"/>
        <v>The Phone Company Smart phones Unlocked International M800 Grey</v>
      </c>
      <c r="I178" s="4">
        <f t="shared" si="9"/>
        <v>7</v>
      </c>
      <c r="J178" s="3">
        <f t="shared" si="10"/>
        <v>310</v>
      </c>
      <c r="K178">
        <f t="shared" si="11"/>
        <v>2170</v>
      </c>
    </row>
    <row r="179" spans="1:11" x14ac:dyDescent="0.3">
      <c r="A179">
        <v>178</v>
      </c>
      <c r="B179">
        <f>_xlfn.XMATCH(A179,sales_orders[acu_items],1)</f>
        <v>79</v>
      </c>
      <c r="C179" cm="1">
        <f t="array" ref="C179">A179-IF(B179=1,0,INDEX(sales_orders[acu_items],B179-1))</f>
        <v>4</v>
      </c>
      <c r="D179" cm="1">
        <f t="array" ref="D179">INDEX(sales_orders[order_number],B179)</f>
        <v>1813002</v>
      </c>
      <c r="E179" s="1" cm="1">
        <f t="array" ref="E179">INDEX(sales_orders[order_date],B179)</f>
        <v>43817</v>
      </c>
      <c r="F179" t="str" cm="1">
        <f t="array" ref="F179">INDEX(sales_orders[fulfillment],B179)</f>
        <v>In store</v>
      </c>
      <c r="G179" t="str" cm="1">
        <f t="array" ref="G179">INDEX(sales_orders[line_items],B179)</f>
        <v>[_x000D_
  {_x000D_
    "product": {_x000D_
      "product_name": "Contoso DVD 38 DVD Storage Binder E25 Red",_x000D_
      "product_price": 9.99_x000D_
    },_x000D_
    "quantity": 8_x000D_
  },_x000D_
  {_x000D_
    "product": {_x000D_
      "product_name": "MGS Hand Games for students E400 Black",_x000D_
      "product_price": 6.99_x000D_
    },_x000D_
    "quantity": 7_x000D_
  },_x000D_
  {_x000D_
    "product": {_x000D_
      "product_name": "The Phone Company Smart phones Unlocked International M800 Grey",_x000D_
      "product_price": 310_x000D_
    },_x000D_
    "quantity": 7_x000D_
  },_x000D_
  {_x000D_
    "product": {_x000D_
      "product_name": "Fabrikam Business Videographer 1'' 25mm M600 Black",_x000D_
      "product_price": 888_x000D_
    },_x000D_
    "quantity": 3_x000D_
  }_x000D_
]</v>
      </c>
      <c r="H179" t="str">
        <f t="shared" si="8"/>
        <v>Fabrikam Business Videographer 1'' 25mm M600 Black</v>
      </c>
      <c r="I179" s="4">
        <f t="shared" si="9"/>
        <v>3</v>
      </c>
      <c r="J179" s="3">
        <f t="shared" si="10"/>
        <v>888</v>
      </c>
      <c r="K179">
        <f t="shared" si="11"/>
        <v>2664</v>
      </c>
    </row>
    <row r="180" spans="1:11" x14ac:dyDescent="0.3">
      <c r="A180">
        <v>179</v>
      </c>
      <c r="B180">
        <f>_xlfn.XMATCH(A180,sales_orders[acu_items],1)</f>
        <v>80</v>
      </c>
      <c r="C180" cm="1">
        <f t="array" ref="C180">A180-IF(B180=1,0,INDEX(sales_orders[acu_items],B180-1))</f>
        <v>1</v>
      </c>
      <c r="D180" cm="1">
        <f t="array" ref="D180">INDEX(sales_orders[order_number],B180)</f>
        <v>1820019</v>
      </c>
      <c r="E180" s="1" cm="1">
        <f t="array" ref="E180">INDEX(sales_orders[order_date],B180)</f>
        <v>43824</v>
      </c>
      <c r="F180" t="str" cm="1">
        <f t="array" ref="F180">INDEX(sales_orders[fulfillment],B180)</f>
        <v>Online</v>
      </c>
      <c r="G180" t="str" cm="1">
        <f t="array" ref="G180">INDEX(sales_orders[line_items],B180)</f>
        <v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v>
      </c>
      <c r="H180" t="str">
        <f t="shared" si="8"/>
        <v>Headphone Adapter for Contoso Phone E130 White</v>
      </c>
      <c r="I180" s="4">
        <f t="shared" si="9"/>
        <v>5</v>
      </c>
      <c r="J180" s="3">
        <f t="shared" si="10"/>
        <v>9.99</v>
      </c>
      <c r="K180">
        <f t="shared" si="11"/>
        <v>49.95</v>
      </c>
    </row>
    <row r="181" spans="1:11" x14ac:dyDescent="0.3">
      <c r="A181">
        <v>180</v>
      </c>
      <c r="B181">
        <f>_xlfn.XMATCH(A181,sales_orders[acu_items],1)</f>
        <v>80</v>
      </c>
      <c r="C181" cm="1">
        <f t="array" ref="C181">A181-IF(B181=1,0,INDEX(sales_orders[acu_items],B181-1))</f>
        <v>2</v>
      </c>
      <c r="D181" cm="1">
        <f t="array" ref="D181">INDEX(sales_orders[order_number],B181)</f>
        <v>1820019</v>
      </c>
      <c r="E181" s="1" cm="1">
        <f t="array" ref="E181">INDEX(sales_orders[order_date],B181)</f>
        <v>43824</v>
      </c>
      <c r="F181" t="str" cm="1">
        <f t="array" ref="F181">INDEX(sales_orders[fulfillment],B181)</f>
        <v>Online</v>
      </c>
      <c r="G181" t="str" cm="1">
        <f t="array" ref="G181">INDEX(sales_orders[line_items],B181)</f>
        <v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v>
      </c>
      <c r="H181" t="str">
        <f t="shared" si="8"/>
        <v>Proseware Wireless Photo All-in-One Printer M390 Grey</v>
      </c>
      <c r="I181" s="4">
        <f t="shared" si="9"/>
        <v>8</v>
      </c>
      <c r="J181" s="3">
        <f t="shared" si="10"/>
        <v>188</v>
      </c>
      <c r="K181">
        <f t="shared" si="11"/>
        <v>1504</v>
      </c>
    </row>
    <row r="182" spans="1:11" x14ac:dyDescent="0.3">
      <c r="A182">
        <v>181</v>
      </c>
      <c r="B182">
        <f>_xlfn.XMATCH(A182,sales_orders[acu_items],1)</f>
        <v>80</v>
      </c>
      <c r="C182" cm="1">
        <f t="array" ref="C182">A182-IF(B182=1,0,INDEX(sales_orders[acu_items],B182-1))</f>
        <v>3</v>
      </c>
      <c r="D182" cm="1">
        <f t="array" ref="D182">INDEX(sales_orders[order_number],B182)</f>
        <v>1820019</v>
      </c>
      <c r="E182" s="1" cm="1">
        <f t="array" ref="E182">INDEX(sales_orders[order_date],B182)</f>
        <v>43824</v>
      </c>
      <c r="F182" t="str" cm="1">
        <f t="array" ref="F182">INDEX(sales_orders[fulfillment],B182)</f>
        <v>Online</v>
      </c>
      <c r="G182" t="str" cm="1">
        <f t="array" ref="G182">INDEX(sales_orders[line_items],B182)</f>
        <v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v>
      </c>
      <c r="H182" t="str">
        <f t="shared" si="8"/>
        <v>SV DVD 7-Inch Player Portable E200 Silver</v>
      </c>
      <c r="I182" s="4">
        <f t="shared" si="9"/>
        <v>5</v>
      </c>
      <c r="J182" s="3">
        <f t="shared" si="10"/>
        <v>109.99</v>
      </c>
      <c r="K182">
        <f t="shared" si="11"/>
        <v>549.94999999999993</v>
      </c>
    </row>
    <row r="183" spans="1:11" x14ac:dyDescent="0.3">
      <c r="A183">
        <v>182</v>
      </c>
      <c r="B183">
        <f>_xlfn.XMATCH(A183,sales_orders[acu_items],1)</f>
        <v>80</v>
      </c>
      <c r="C183" cm="1">
        <f t="array" ref="C183">A183-IF(B183=1,0,INDEX(sales_orders[acu_items],B183-1))</f>
        <v>4</v>
      </c>
      <c r="D183" cm="1">
        <f t="array" ref="D183">INDEX(sales_orders[order_number],B183)</f>
        <v>1820019</v>
      </c>
      <c r="E183" s="1" cm="1">
        <f t="array" ref="E183">INDEX(sales_orders[order_date],B183)</f>
        <v>43824</v>
      </c>
      <c r="F183" t="str" cm="1">
        <f t="array" ref="F183">INDEX(sales_orders[fulfillment],B183)</f>
        <v>Online</v>
      </c>
      <c r="G183" t="str" cm="1">
        <f t="array" ref="G183">INDEX(sales_orders[line_items],B183)</f>
        <v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v>
      </c>
      <c r="H183" t="str">
        <f t="shared" si="8"/>
        <v>WWI 2GB Pulse Smart pen M100 White</v>
      </c>
      <c r="I183" s="4">
        <f t="shared" si="9"/>
        <v>1</v>
      </c>
      <c r="J183" s="3">
        <f t="shared" si="10"/>
        <v>199.95</v>
      </c>
      <c r="K183">
        <f t="shared" si="11"/>
        <v>199.95</v>
      </c>
    </row>
    <row r="184" spans="1:11" x14ac:dyDescent="0.3">
      <c r="A184">
        <v>183</v>
      </c>
      <c r="B184">
        <f>_xlfn.XMATCH(A184,sales_orders[acu_items],1)</f>
        <v>80</v>
      </c>
      <c r="C184" cm="1">
        <f t="array" ref="C184">A184-IF(B184=1,0,INDEX(sales_orders[acu_items],B184-1))</f>
        <v>5</v>
      </c>
      <c r="D184" cm="1">
        <f t="array" ref="D184">INDEX(sales_orders[order_number],B184)</f>
        <v>1820019</v>
      </c>
      <c r="E184" s="1" cm="1">
        <f t="array" ref="E184">INDEX(sales_orders[order_date],B184)</f>
        <v>43824</v>
      </c>
      <c r="F184" t="str" cm="1">
        <f t="array" ref="F184">INDEX(sales_orders[fulfillment],B184)</f>
        <v>Online</v>
      </c>
      <c r="G184" t="str" cm="1">
        <f t="array" ref="G184">INDEX(sales_orders[line_items],B184)</f>
        <v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v>
      </c>
      <c r="H184" t="str">
        <f t="shared" si="8"/>
        <v>Adventure Works Desktop PC2.30 MD230 White</v>
      </c>
      <c r="I184" s="4">
        <f t="shared" si="9"/>
        <v>3</v>
      </c>
      <c r="J184" s="3">
        <f t="shared" si="10"/>
        <v>599</v>
      </c>
      <c r="K184">
        <f t="shared" si="11"/>
        <v>1797</v>
      </c>
    </row>
    <row r="185" spans="1:11" x14ac:dyDescent="0.3">
      <c r="A185">
        <v>184</v>
      </c>
      <c r="B185">
        <f>_xlfn.XMATCH(A185,sales_orders[acu_items],1)</f>
        <v>81</v>
      </c>
      <c r="C185" cm="1">
        <f t="array" ref="C185">A185-IF(B185=1,0,INDEX(sales_orders[acu_items],B185-1))</f>
        <v>1</v>
      </c>
      <c r="D185" cm="1">
        <f t="array" ref="D185">INDEX(sales_orders[order_number],B185)</f>
        <v>1827003</v>
      </c>
      <c r="E185" s="1" cm="1">
        <f t="array" ref="E185">INDEX(sales_orders[order_date],B185)</f>
        <v>43831</v>
      </c>
      <c r="F185" t="str" cm="1">
        <f t="array" ref="F185">INDEX(sales_orders[fulfillment],B185)</f>
        <v>In store</v>
      </c>
      <c r="G185" t="str" cm="1">
        <f t="array" ref="G185">INDEX(sales_orders[line_items],B185)</f>
        <v>[_x000D_
  {_x000D_
    "product": {_x000D_
      "product_name": "WWI 4GB Video Recording Pen X200 Pink",_x000D_
      "product_price": 296_x000D_
    },_x000D_
    "quantity": 5_x000D_
  },_x000D_
  {_x000D_
    "product": {_x000D_
      "product_name": "Contoso SLR Camera 35 X358 Pink",_x000D_
      "product_price": 568_x000D_
    },_x000D_
    "quantity": 7_x000D_
  }_x000D_
]</v>
      </c>
      <c r="H185" t="str">
        <f t="shared" si="8"/>
        <v>WWI 4GB Video Recording Pen X200 Pink</v>
      </c>
      <c r="I185" s="4">
        <f t="shared" si="9"/>
        <v>5</v>
      </c>
      <c r="J185" s="3">
        <f t="shared" si="10"/>
        <v>296</v>
      </c>
      <c r="K185">
        <f t="shared" si="11"/>
        <v>1480</v>
      </c>
    </row>
    <row r="186" spans="1:11" x14ac:dyDescent="0.3">
      <c r="A186">
        <v>185</v>
      </c>
      <c r="B186">
        <f>_xlfn.XMATCH(A186,sales_orders[acu_items],1)</f>
        <v>81</v>
      </c>
      <c r="C186" cm="1">
        <f t="array" ref="C186">A186-IF(B186=1,0,INDEX(sales_orders[acu_items],B186-1))</f>
        <v>2</v>
      </c>
      <c r="D186" cm="1">
        <f t="array" ref="D186">INDEX(sales_orders[order_number],B186)</f>
        <v>1827003</v>
      </c>
      <c r="E186" s="1" cm="1">
        <f t="array" ref="E186">INDEX(sales_orders[order_date],B186)</f>
        <v>43831</v>
      </c>
      <c r="F186" t="str" cm="1">
        <f t="array" ref="F186">INDEX(sales_orders[fulfillment],B186)</f>
        <v>In store</v>
      </c>
      <c r="G186" t="str" cm="1">
        <f t="array" ref="G186">INDEX(sales_orders[line_items],B186)</f>
        <v>[_x000D_
  {_x000D_
    "product": {_x000D_
      "product_name": "WWI 4GB Video Recording Pen X200 Pink",_x000D_
      "product_price": 296_x000D_
    },_x000D_
    "quantity": 5_x000D_
  },_x000D_
  {_x000D_
    "product": {_x000D_
      "product_name": "Contoso SLR Camera 35 X358 Pink",_x000D_
      "product_price": 568_x000D_
    },_x000D_
    "quantity": 7_x000D_
  }_x000D_
]</v>
      </c>
      <c r="H186" t="str">
        <f t="shared" si="8"/>
        <v>Contoso SLR Camera 35 X358 Pink</v>
      </c>
      <c r="I186" s="4">
        <f t="shared" si="9"/>
        <v>7</v>
      </c>
      <c r="J186" s="3">
        <f t="shared" si="10"/>
        <v>568</v>
      </c>
      <c r="K186">
        <f t="shared" si="11"/>
        <v>3976</v>
      </c>
    </row>
    <row r="187" spans="1:11" x14ac:dyDescent="0.3">
      <c r="A187">
        <v>186</v>
      </c>
      <c r="B187">
        <f>_xlfn.XMATCH(A187,sales_orders[acu_items],1)</f>
        <v>82</v>
      </c>
      <c r="C187" cm="1">
        <f t="array" ref="C187">A187-IF(B187=1,0,INDEX(sales_orders[acu_items],B187-1))</f>
        <v>1</v>
      </c>
      <c r="D187" cm="1">
        <f t="array" ref="D187">INDEX(sales_orders[order_number],B187)</f>
        <v>1828058</v>
      </c>
      <c r="E187" s="1" cm="1">
        <f t="array" ref="E187">INDEX(sales_orders[order_date],B187)</f>
        <v>43832</v>
      </c>
      <c r="F187" t="str" cm="1">
        <f t="array" ref="F187">INDEX(sales_orders[fulfillment],B187)</f>
        <v>In store</v>
      </c>
      <c r="G187" t="str" cm="1">
        <f t="array" ref="G187">INDEX(sales_orders[line_items],B187)</f>
        <v>[_x000D_
  {_x000D_
    "product": {_x000D_
      "product_name": "WWI LCD24 X300 White",_x000D_
      "product_price": 819_x000D_
    },_x000D_
    "quantity": 4_x000D_
  },_x000D_
  {_x000D_
    "product": {_x000D_
      "product_name": "WWI Wireless Transmitter and Bluetooth Headphones X250 Silver",_x000D_
      "product_price": 249.99_x000D_
    },_x000D_
    "quantity": 1_x000D_
  }_x000D_
]</v>
      </c>
      <c r="H187" t="str">
        <f t="shared" si="8"/>
        <v>WWI LCD24 X300 White</v>
      </c>
      <c r="I187" s="4">
        <f t="shared" si="9"/>
        <v>4</v>
      </c>
      <c r="J187" s="3">
        <f t="shared" si="10"/>
        <v>819</v>
      </c>
      <c r="K187">
        <f t="shared" si="11"/>
        <v>3276</v>
      </c>
    </row>
    <row r="188" spans="1:11" x14ac:dyDescent="0.3">
      <c r="A188">
        <v>187</v>
      </c>
      <c r="B188">
        <f>_xlfn.XMATCH(A188,sales_orders[acu_items],1)</f>
        <v>82</v>
      </c>
      <c r="C188" cm="1">
        <f t="array" ref="C188">A188-IF(B188=1,0,INDEX(sales_orders[acu_items],B188-1))</f>
        <v>2</v>
      </c>
      <c r="D188" cm="1">
        <f t="array" ref="D188">INDEX(sales_orders[order_number],B188)</f>
        <v>1828058</v>
      </c>
      <c r="E188" s="1" cm="1">
        <f t="array" ref="E188">INDEX(sales_orders[order_date],B188)</f>
        <v>43832</v>
      </c>
      <c r="F188" t="str" cm="1">
        <f t="array" ref="F188">INDEX(sales_orders[fulfillment],B188)</f>
        <v>In store</v>
      </c>
      <c r="G188" t="str" cm="1">
        <f t="array" ref="G188">INDEX(sales_orders[line_items],B188)</f>
        <v>[_x000D_
  {_x000D_
    "product": {_x000D_
      "product_name": "WWI LCD24 X300 White",_x000D_
      "product_price": 819_x000D_
    },_x000D_
    "quantity": 4_x000D_
  },_x000D_
  {_x000D_
    "product": {_x000D_
      "product_name": "WWI Wireless Transmitter and Bluetooth Headphones X250 Silver",_x000D_
      "product_price": 249.99_x000D_
    },_x000D_
    "quantity": 1_x000D_
  }_x000D_
]</v>
      </c>
      <c r="H188" t="str">
        <f t="shared" si="8"/>
        <v>WWI Wireless Transmitter and Bluetooth Headphones X250 Silver</v>
      </c>
      <c r="I188" s="4">
        <f t="shared" si="9"/>
        <v>1</v>
      </c>
      <c r="J188" s="3">
        <f t="shared" si="10"/>
        <v>249.99</v>
      </c>
      <c r="K188">
        <f t="shared" si="11"/>
        <v>249.99</v>
      </c>
    </row>
    <row r="189" spans="1:11" x14ac:dyDescent="0.3">
      <c r="A189">
        <v>188</v>
      </c>
      <c r="B189">
        <f>_xlfn.XMATCH(A189,sales_orders[acu_items],1)</f>
        <v>83</v>
      </c>
      <c r="C189" cm="1">
        <f t="array" ref="C189">A189-IF(B189=1,0,INDEX(sales_orders[acu_items],B189-1))</f>
        <v>1</v>
      </c>
      <c r="D189" cm="1">
        <f t="array" ref="D189">INDEX(sales_orders[order_number],B189)</f>
        <v>1834023</v>
      </c>
      <c r="E189" s="1" cm="1">
        <f t="array" ref="E189">INDEX(sales_orders[order_date],B189)</f>
        <v>43838</v>
      </c>
      <c r="F189" t="str" cm="1">
        <f t="array" ref="F189">INDEX(sales_orders[fulfillment],B189)</f>
        <v>In store</v>
      </c>
      <c r="G189" t="str" cm="1">
        <f t="array" ref="G189">INDEX(sales_orders[line_items],B189)</f>
        <v>[_x000D_
  {_x000D_
    "product": {_x000D_
      "product_name": "Contoso DVD Recorder L200 Black",_x000D_
      "product_price": 219_x000D_
    },_x000D_
    "quantity": 1_x000D_
  }_x000D_
]</v>
      </c>
      <c r="H189" t="str">
        <f t="shared" si="8"/>
        <v>Contoso DVD Recorder L200 Black</v>
      </c>
      <c r="I189" s="4">
        <f t="shared" si="9"/>
        <v>1</v>
      </c>
      <c r="J189" s="3">
        <f t="shared" si="10"/>
        <v>219</v>
      </c>
      <c r="K189">
        <f t="shared" si="11"/>
        <v>219</v>
      </c>
    </row>
    <row r="190" spans="1:11" x14ac:dyDescent="0.3">
      <c r="A190">
        <v>189</v>
      </c>
      <c r="B190">
        <f>_xlfn.XMATCH(A190,sales_orders[acu_items],1)</f>
        <v>84</v>
      </c>
      <c r="C190" cm="1">
        <f t="array" ref="C190">A190-IF(B190=1,0,INDEX(sales_orders[acu_items],B190-1))</f>
        <v>1</v>
      </c>
      <c r="D190" cm="1">
        <f t="array" ref="D190">INDEX(sales_orders[order_number],B190)</f>
        <v>1836002</v>
      </c>
      <c r="E190" s="1" cm="1">
        <f t="array" ref="E190">INDEX(sales_orders[order_date],B190)</f>
        <v>43840</v>
      </c>
      <c r="F190" t="str" cm="1">
        <f t="array" ref="F190">INDEX(sales_orders[fulfillment],B190)</f>
        <v>Online</v>
      </c>
      <c r="G190" t="str" cm="1">
        <f t="array" ref="G190">INDEX(sales_orders[line_items],B190)</f>
        <v>[_x000D_
  {_x000D_
    "product": {_x000D_
      "product_name": "Proseware LCD19W M100 White",_x000D_
      "product_price": 179_x000D_
    },_x000D_
    "quantity": 1_x000D_
  }_x000D_
]</v>
      </c>
      <c r="H190" t="str">
        <f t="shared" si="8"/>
        <v>Proseware LCD19W M100 White</v>
      </c>
      <c r="I190" s="4">
        <f t="shared" si="9"/>
        <v>1</v>
      </c>
      <c r="J190" s="3">
        <f t="shared" si="10"/>
        <v>179</v>
      </c>
      <c r="K190">
        <f t="shared" si="11"/>
        <v>179</v>
      </c>
    </row>
    <row r="191" spans="1:11" x14ac:dyDescent="0.3">
      <c r="A191">
        <v>190</v>
      </c>
      <c r="B191">
        <f>_xlfn.XMATCH(A191,sales_orders[acu_items],1)</f>
        <v>85</v>
      </c>
      <c r="C191" cm="1">
        <f t="array" ref="C191">A191-IF(B191=1,0,INDEX(sales_orders[acu_items],B191-1))</f>
        <v>1</v>
      </c>
      <c r="D191" cm="1">
        <f t="array" ref="D191">INDEX(sales_orders[order_number],B191)</f>
        <v>1843003</v>
      </c>
      <c r="E191" s="1" cm="1">
        <f t="array" ref="E191">INDEX(sales_orders[order_date],B191)</f>
        <v>43847</v>
      </c>
      <c r="F191" t="str" cm="1">
        <f t="array" ref="F191">INDEX(sales_orders[fulfillment],B191)</f>
        <v>In store</v>
      </c>
      <c r="G191" t="str" cm="1">
        <f t="array" ref="G191">INDEX(sales_orders[line_items],B191)</f>
        <v>[_x000D_
  {_x000D_
    "product": {_x000D_
      "product_name": "NT Wireless Bluetooth Stereo Headphones E302 Silver",_x000D_
      "product_price": 40.55_x000D_
    },_x000D_
    "quantity": 5_x000D_
  }_x000D_
]</v>
      </c>
      <c r="H191" t="str">
        <f t="shared" si="8"/>
        <v>NT Wireless Bluetooth Stereo Headphones E302 Silver</v>
      </c>
      <c r="I191" s="4">
        <f t="shared" si="9"/>
        <v>5</v>
      </c>
      <c r="J191" s="3">
        <f t="shared" si="10"/>
        <v>40.549999999999997</v>
      </c>
      <c r="K191">
        <f t="shared" si="11"/>
        <v>202.75</v>
      </c>
    </row>
    <row r="192" spans="1:11" x14ac:dyDescent="0.3">
      <c r="A192">
        <v>191</v>
      </c>
      <c r="B192">
        <f>_xlfn.XMATCH(A192,sales_orders[acu_items],1)</f>
        <v>86</v>
      </c>
      <c r="C192" cm="1">
        <f t="array" ref="C192">A192-IF(B192=1,0,INDEX(sales_orders[acu_items],B192-1))</f>
        <v>1</v>
      </c>
      <c r="D192" cm="1">
        <f t="array" ref="D192">INDEX(sales_orders[order_number],B192)</f>
        <v>1849000</v>
      </c>
      <c r="E192" s="1" cm="1">
        <f t="array" ref="E192">INDEX(sales_orders[order_date],B192)</f>
        <v>43853</v>
      </c>
      <c r="F192" t="str" cm="1">
        <f t="array" ref="F192">INDEX(sales_orders[fulfillment],B192)</f>
        <v>In store</v>
      </c>
      <c r="G192" t="str" cm="1">
        <f t="array" ref="G192">INDEX(sales_orders[line_items],B192)</f>
        <v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v>
      </c>
      <c r="H192" t="str">
        <f t="shared" si="8"/>
        <v>SV DVD 48 DVD Storage Binder M50 Black</v>
      </c>
      <c r="I192" s="4">
        <f t="shared" si="9"/>
        <v>2</v>
      </c>
      <c r="J192" s="3">
        <f t="shared" si="10"/>
        <v>17.989999999999998</v>
      </c>
      <c r="K192">
        <f t="shared" si="11"/>
        <v>35.979999999999997</v>
      </c>
    </row>
    <row r="193" spans="1:11" x14ac:dyDescent="0.3">
      <c r="A193">
        <v>192</v>
      </c>
      <c r="B193">
        <f>_xlfn.XMATCH(A193,sales_orders[acu_items],1)</f>
        <v>86</v>
      </c>
      <c r="C193" cm="1">
        <f t="array" ref="C193">A193-IF(B193=1,0,INDEX(sales_orders[acu_items],B193-1))</f>
        <v>2</v>
      </c>
      <c r="D193" cm="1">
        <f t="array" ref="D193">INDEX(sales_orders[order_number],B193)</f>
        <v>1849000</v>
      </c>
      <c r="E193" s="1" cm="1">
        <f t="array" ref="E193">INDEX(sales_orders[order_date],B193)</f>
        <v>43853</v>
      </c>
      <c r="F193" t="str" cm="1">
        <f t="array" ref="F193">INDEX(sales_orders[fulfillment],B193)</f>
        <v>In store</v>
      </c>
      <c r="G193" t="str" cm="1">
        <f t="array" ref="G193">INDEX(sales_orders[line_items],B193)</f>
        <v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v>
      </c>
      <c r="H193" t="str">
        <f t="shared" si="8"/>
        <v>Contoso Water Heater 4.3GPM M1250 Grey</v>
      </c>
      <c r="I193" s="4">
        <f t="shared" si="9"/>
        <v>1</v>
      </c>
      <c r="J193" s="3">
        <f t="shared" si="10"/>
        <v>877.5</v>
      </c>
      <c r="K193">
        <f t="shared" si="11"/>
        <v>877.5</v>
      </c>
    </row>
    <row r="194" spans="1:11" x14ac:dyDescent="0.3">
      <c r="A194">
        <v>193</v>
      </c>
      <c r="B194">
        <f>_xlfn.XMATCH(A194,sales_orders[acu_items],1)</f>
        <v>86</v>
      </c>
      <c r="C194" cm="1">
        <f t="array" ref="C194">A194-IF(B194=1,0,INDEX(sales_orders[acu_items],B194-1))</f>
        <v>3</v>
      </c>
      <c r="D194" cm="1">
        <f t="array" ref="D194">INDEX(sales_orders[order_number],B194)</f>
        <v>1849000</v>
      </c>
      <c r="E194" s="1" cm="1">
        <f t="array" ref="E194">INDEX(sales_orders[order_date],B194)</f>
        <v>43853</v>
      </c>
      <c r="F194" t="str" cm="1">
        <f t="array" ref="F194">INDEX(sales_orders[fulfillment],B194)</f>
        <v>In store</v>
      </c>
      <c r="G194" t="str" cm="1">
        <f t="array" ref="G194">INDEX(sales_orders[line_items],B194)</f>
        <v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v>
      </c>
      <c r="H194" t="str">
        <f t="shared" si="8"/>
        <v>Contoso In front of Centrex L15 Grey</v>
      </c>
      <c r="I194" s="4">
        <f t="shared" si="9"/>
        <v>1</v>
      </c>
      <c r="J194" s="3">
        <f t="shared" si="10"/>
        <v>46.99</v>
      </c>
      <c r="K194">
        <f t="shared" si="11"/>
        <v>46.99</v>
      </c>
    </row>
    <row r="195" spans="1:11" x14ac:dyDescent="0.3">
      <c r="A195">
        <v>194</v>
      </c>
      <c r="B195">
        <f>_xlfn.XMATCH(A195,sales_orders[acu_items],1)</f>
        <v>86</v>
      </c>
      <c r="C195" cm="1">
        <f t="array" ref="C195">A195-IF(B195=1,0,INDEX(sales_orders[acu_items],B195-1))</f>
        <v>4</v>
      </c>
      <c r="D195" cm="1">
        <f t="array" ref="D195">INDEX(sales_orders[order_number],B195)</f>
        <v>1849000</v>
      </c>
      <c r="E195" s="1" cm="1">
        <f t="array" ref="E195">INDEX(sales_orders[order_date],B195)</f>
        <v>43853</v>
      </c>
      <c r="F195" t="str" cm="1">
        <f t="array" ref="F195">INDEX(sales_orders[fulfillment],B195)</f>
        <v>In store</v>
      </c>
      <c r="G195" t="str" cm="1">
        <f t="array" ref="G195">INDEX(sales_orders[line_items],B195)</f>
        <v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v>
      </c>
      <c r="H195" t="str">
        <f t="shared" ref="H195:H231" si="12">_xlfn.TEXTBEFORE(_xlfn.TEXTAFTER(G195,"""product_name"": """,C195),"""")</f>
        <v>Contoso Original K1m Li-Ion Standard Battery E170 Silver</v>
      </c>
      <c r="I195" s="4">
        <f t="shared" ref="I195:I231" si="13">--TRIM(SUBSTITUTE(SUBSTITUTE(_xlfn.TEXTBEFORE(_xlfn.TEXTAFTER(G195,"""quantity"": ",C195),"}"),CHAR(10),""),CHAR(13),""))</f>
        <v>1</v>
      </c>
      <c r="J195" s="3">
        <f t="shared" ref="J195:J231" si="14">--TRIM(SUBSTITUTE(SUBSTITUTE(_xlfn.TEXTBEFORE(_xlfn.TEXTAFTER(G195,"""product_price"": ",C195),"}"),CHAR(10),""),CHAR(13),""))</f>
        <v>4.0599999999999996</v>
      </c>
      <c r="K195">
        <f t="shared" ref="K195:K231" si="15">+I195*J195</f>
        <v>4.0599999999999996</v>
      </c>
    </row>
    <row r="196" spans="1:11" x14ac:dyDescent="0.3">
      <c r="A196">
        <v>195</v>
      </c>
      <c r="B196">
        <f>_xlfn.XMATCH(A196,sales_orders[acu_items],1)</f>
        <v>86</v>
      </c>
      <c r="C196" cm="1">
        <f t="array" ref="C196">A196-IF(B196=1,0,INDEX(sales_orders[acu_items],B196-1))</f>
        <v>5</v>
      </c>
      <c r="D196" cm="1">
        <f t="array" ref="D196">INDEX(sales_orders[order_number],B196)</f>
        <v>1849000</v>
      </c>
      <c r="E196" s="1" cm="1">
        <f t="array" ref="E196">INDEX(sales_orders[order_date],B196)</f>
        <v>43853</v>
      </c>
      <c r="F196" t="str" cm="1">
        <f t="array" ref="F196">INDEX(sales_orders[fulfillment],B196)</f>
        <v>In store</v>
      </c>
      <c r="G196" t="str" cm="1">
        <f t="array" ref="G196">INDEX(sales_orders[line_items],B196)</f>
        <v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v>
      </c>
      <c r="H196" t="str">
        <f t="shared" si="12"/>
        <v>The Phone Company Smart phones 6-LINE SCREEN M21 Black</v>
      </c>
      <c r="I196" s="4">
        <f t="shared" si="13"/>
        <v>5</v>
      </c>
      <c r="J196" s="3">
        <f t="shared" si="14"/>
        <v>230</v>
      </c>
      <c r="K196">
        <f t="shared" si="15"/>
        <v>1150</v>
      </c>
    </row>
    <row r="197" spans="1:11" x14ac:dyDescent="0.3">
      <c r="A197">
        <v>196</v>
      </c>
      <c r="B197">
        <f>_xlfn.XMATCH(A197,sales_orders[acu_items],1)</f>
        <v>87</v>
      </c>
      <c r="C197" cm="1">
        <f t="array" ref="C197">A197-IF(B197=1,0,INDEX(sales_orders[acu_items],B197-1))</f>
        <v>1</v>
      </c>
      <c r="D197" cm="1">
        <f t="array" ref="D197">INDEX(sales_orders[order_number],B197)</f>
        <v>1850011</v>
      </c>
      <c r="E197" s="1" cm="1">
        <f t="array" ref="E197">INDEX(sales_orders[order_date],B197)</f>
        <v>43854</v>
      </c>
      <c r="F197" t="str" cm="1">
        <f t="array" ref="F197">INDEX(sales_orders[fulfillment],B197)</f>
        <v>In store</v>
      </c>
      <c r="G197" t="str" cm="1">
        <f t="array" ref="G197">INDEX(sales_orders[line_items],B197)</f>
        <v>[_x000D_
  {_x000D_
    "product": {_x000D_
      "product_name": "Contoso Touch Screen Phones Infrared M901 Black",_x000D_
      "product_price": 300_x000D_
    },_x000D_
    "quantity": 6_x000D_
  },_x000D_
  {_x000D_
    "product": {_x000D_
      "product_name": "SV 22xDVD M600 Silver",_x000D_
      "product_price": 129.9_x000D_
    },_x000D_
    "quantity": 10_x000D_
  }_x000D_
]</v>
      </c>
      <c r="H197" t="str">
        <f t="shared" si="12"/>
        <v>Contoso Touch Screen Phones Infrared M901 Black</v>
      </c>
      <c r="I197" s="4">
        <f t="shared" si="13"/>
        <v>6</v>
      </c>
      <c r="J197" s="3">
        <f t="shared" si="14"/>
        <v>300</v>
      </c>
      <c r="K197">
        <f t="shared" si="15"/>
        <v>1800</v>
      </c>
    </row>
    <row r="198" spans="1:11" x14ac:dyDescent="0.3">
      <c r="A198">
        <v>197</v>
      </c>
      <c r="B198">
        <f>_xlfn.XMATCH(A198,sales_orders[acu_items],1)</f>
        <v>87</v>
      </c>
      <c r="C198" cm="1">
        <f t="array" ref="C198">A198-IF(B198=1,0,INDEX(sales_orders[acu_items],B198-1))</f>
        <v>2</v>
      </c>
      <c r="D198" cm="1">
        <f t="array" ref="D198">INDEX(sales_orders[order_number],B198)</f>
        <v>1850011</v>
      </c>
      <c r="E198" s="1" cm="1">
        <f t="array" ref="E198">INDEX(sales_orders[order_date],B198)</f>
        <v>43854</v>
      </c>
      <c r="F198" t="str" cm="1">
        <f t="array" ref="F198">INDEX(sales_orders[fulfillment],B198)</f>
        <v>In store</v>
      </c>
      <c r="G198" t="str" cm="1">
        <f t="array" ref="G198">INDEX(sales_orders[line_items],B198)</f>
        <v>[_x000D_
  {_x000D_
    "product": {_x000D_
      "product_name": "Contoso Touch Screen Phones Infrared M901 Black",_x000D_
      "product_price": 300_x000D_
    },_x000D_
    "quantity": 6_x000D_
  },_x000D_
  {_x000D_
    "product": {_x000D_
      "product_name": "SV 22xDVD M600 Silver",_x000D_
      "product_price": 129.9_x000D_
    },_x000D_
    "quantity": 10_x000D_
  }_x000D_
]</v>
      </c>
      <c r="H198" t="str">
        <f t="shared" si="12"/>
        <v>SV 22xDVD M600 Silver</v>
      </c>
      <c r="I198" s="4">
        <f t="shared" si="13"/>
        <v>10</v>
      </c>
      <c r="J198" s="3">
        <f t="shared" si="14"/>
        <v>129.9</v>
      </c>
      <c r="K198">
        <f t="shared" si="15"/>
        <v>1299</v>
      </c>
    </row>
    <row r="199" spans="1:11" x14ac:dyDescent="0.3">
      <c r="A199">
        <v>198</v>
      </c>
      <c r="B199">
        <f>_xlfn.XMATCH(A199,sales_orders[acu_items],1)</f>
        <v>88</v>
      </c>
      <c r="C199" cm="1">
        <f t="array" ref="C199">A199-IF(B199=1,0,INDEX(sales_orders[acu_items],B199-1))</f>
        <v>1</v>
      </c>
      <c r="D199" cm="1">
        <f t="array" ref="D199">INDEX(sales_orders[order_number],B199)</f>
        <v>1862001</v>
      </c>
      <c r="E199" s="1" cm="1">
        <f t="array" ref="E199">INDEX(sales_orders[order_date],B199)</f>
        <v>43866</v>
      </c>
      <c r="F199" t="str" cm="1">
        <f t="array" ref="F199">INDEX(sales_orders[fulfillment],B199)</f>
        <v>In store</v>
      </c>
      <c r="G199" t="str" cm="1">
        <f t="array" ref="G199">INDEX(sales_orders[line_items],B199)</f>
        <v>[_x000D_
  {_x000D_
    "product": {_x000D_
      "product_name": "WWI Desktop PC1.60 E1600 Black",_x000D_
      "product_price": 219.95_x000D_
    },_x000D_
    "quantity": 5_x000D_
  },_x000D_
  {_x000D_
    "product": {_x000D_
      "product_name": "Contoso DVD Movies E100 Yellow",_x000D_
      "product_price": 12.99_x000D_
    },_x000D_
    "quantity": 4_x000D_
  },_x000D_
  {_x000D_
    "product": {_x000D_
      "product_name": "Contoso Touch Screen Phones  - LCD M12 Black",_x000D_
      "product_price": 200_x000D_
    },_x000D_
    "quantity": 2_x000D_
  }_x000D_
]</v>
      </c>
      <c r="H199" t="str">
        <f t="shared" si="12"/>
        <v>WWI Desktop PC1.60 E1600 Black</v>
      </c>
      <c r="I199" s="4">
        <f t="shared" si="13"/>
        <v>5</v>
      </c>
      <c r="J199" s="3">
        <f t="shared" si="14"/>
        <v>219.95</v>
      </c>
      <c r="K199">
        <f t="shared" si="15"/>
        <v>1099.75</v>
      </c>
    </row>
    <row r="200" spans="1:11" x14ac:dyDescent="0.3">
      <c r="A200">
        <v>199</v>
      </c>
      <c r="B200">
        <f>_xlfn.XMATCH(A200,sales_orders[acu_items],1)</f>
        <v>88</v>
      </c>
      <c r="C200" cm="1">
        <f t="array" ref="C200">A200-IF(B200=1,0,INDEX(sales_orders[acu_items],B200-1))</f>
        <v>2</v>
      </c>
      <c r="D200" cm="1">
        <f t="array" ref="D200">INDEX(sales_orders[order_number],B200)</f>
        <v>1862001</v>
      </c>
      <c r="E200" s="1" cm="1">
        <f t="array" ref="E200">INDEX(sales_orders[order_date],B200)</f>
        <v>43866</v>
      </c>
      <c r="F200" t="str" cm="1">
        <f t="array" ref="F200">INDEX(sales_orders[fulfillment],B200)</f>
        <v>In store</v>
      </c>
      <c r="G200" t="str" cm="1">
        <f t="array" ref="G200">INDEX(sales_orders[line_items],B200)</f>
        <v>[_x000D_
  {_x000D_
    "product": {_x000D_
      "product_name": "WWI Desktop PC1.60 E1600 Black",_x000D_
      "product_price": 219.95_x000D_
    },_x000D_
    "quantity": 5_x000D_
  },_x000D_
  {_x000D_
    "product": {_x000D_
      "product_name": "Contoso DVD Movies E100 Yellow",_x000D_
      "product_price": 12.99_x000D_
    },_x000D_
    "quantity": 4_x000D_
  },_x000D_
  {_x000D_
    "product": {_x000D_
      "product_name": "Contoso Touch Screen Phones  - LCD M12 Black",_x000D_
      "product_price": 200_x000D_
    },_x000D_
    "quantity": 2_x000D_
  }_x000D_
]</v>
      </c>
      <c r="H200" t="str">
        <f t="shared" si="12"/>
        <v>Contoso DVD Movies E100 Yellow</v>
      </c>
      <c r="I200" s="4">
        <f t="shared" si="13"/>
        <v>4</v>
      </c>
      <c r="J200" s="3">
        <f t="shared" si="14"/>
        <v>12.99</v>
      </c>
      <c r="K200">
        <f t="shared" si="15"/>
        <v>51.96</v>
      </c>
    </row>
    <row r="201" spans="1:11" x14ac:dyDescent="0.3">
      <c r="A201">
        <v>200</v>
      </c>
      <c r="B201">
        <f>_xlfn.XMATCH(A201,sales_orders[acu_items],1)</f>
        <v>88</v>
      </c>
      <c r="C201" cm="1">
        <f t="array" ref="C201">A201-IF(B201=1,0,INDEX(sales_orders[acu_items],B201-1))</f>
        <v>3</v>
      </c>
      <c r="D201" cm="1">
        <f t="array" ref="D201">INDEX(sales_orders[order_number],B201)</f>
        <v>1862001</v>
      </c>
      <c r="E201" s="1" cm="1">
        <f t="array" ref="E201">INDEX(sales_orders[order_date],B201)</f>
        <v>43866</v>
      </c>
      <c r="F201" t="str" cm="1">
        <f t="array" ref="F201">INDEX(sales_orders[fulfillment],B201)</f>
        <v>In store</v>
      </c>
      <c r="G201" t="str" cm="1">
        <f t="array" ref="G201">INDEX(sales_orders[line_items],B201)</f>
        <v>[_x000D_
  {_x000D_
    "product": {_x000D_
      "product_name": "WWI Desktop PC1.60 E1600 Black",_x000D_
      "product_price": 219.95_x000D_
    },_x000D_
    "quantity": 5_x000D_
  },_x000D_
  {_x000D_
    "product": {_x000D_
      "product_name": "Contoso DVD Movies E100 Yellow",_x000D_
      "product_price": 12.99_x000D_
    },_x000D_
    "quantity": 4_x000D_
  },_x000D_
  {_x000D_
    "product": {_x000D_
      "product_name": "Contoso Touch Screen Phones  - LCD M12 Black",_x000D_
      "product_price": 200_x000D_
    },_x000D_
    "quantity": 2_x000D_
  }_x000D_
]</v>
      </c>
      <c r="H201" t="str">
        <f t="shared" si="12"/>
        <v>Contoso Touch Screen Phones  - LCD M12 Black</v>
      </c>
      <c r="I201" s="4">
        <f t="shared" si="13"/>
        <v>2</v>
      </c>
      <c r="J201" s="3">
        <f t="shared" si="14"/>
        <v>200</v>
      </c>
      <c r="K201">
        <f t="shared" si="15"/>
        <v>400</v>
      </c>
    </row>
    <row r="202" spans="1:11" x14ac:dyDescent="0.3">
      <c r="A202">
        <v>201</v>
      </c>
      <c r="B202">
        <f>_xlfn.XMATCH(A202,sales_orders[acu_items],1)</f>
        <v>89</v>
      </c>
      <c r="C202" cm="1">
        <f t="array" ref="C202">A202-IF(B202=1,0,INDEX(sales_orders[acu_items],B202-1))</f>
        <v>1</v>
      </c>
      <c r="D202" cm="1">
        <f t="array" ref="D202">INDEX(sales_orders[order_number],B202)</f>
        <v>1864024</v>
      </c>
      <c r="E202" s="1" cm="1">
        <f t="array" ref="E202">INDEX(sales_orders[order_date],B202)</f>
        <v>43868</v>
      </c>
      <c r="F202" t="str" cm="1">
        <f t="array" ref="F202">INDEX(sales_orders[fulfillment],B202)</f>
        <v>In store</v>
      </c>
      <c r="G202" t="str" cm="1">
        <f t="array" ref="G202">INDEX(sales_orders[line_items],B202)</f>
        <v>[_x000D_
  {_x000D_
    "product": {_x000D_
      "product_name": "Contoso Mini Battery Charger Kit E320 White",_x000D_
      "product_price": 24.99_x000D_
    },_x000D_
    "quantity": 1_x000D_
  },_x000D_
  {_x000D_
    "product": {_x000D_
      "product_name": "Proseware Office Jet Wireless All-in-One Inkjet Printer M600 White",_x000D_
      "product_price": 190_x000D_
    },_x000D_
    "quantity": 4_x000D_
  },_x000D_
  {_x000D_
    "product": {_x000D_
      "product_name": "Contoso DVD Player M130 Grey",_x000D_
      "product_price": 59.99_x000D_
    },_x000D_
    "quantity": 1_x000D_
  }_x000D_
]</v>
      </c>
      <c r="H202" t="str">
        <f t="shared" si="12"/>
        <v>Contoso Mini Battery Charger Kit E320 White</v>
      </c>
      <c r="I202" s="4">
        <f t="shared" si="13"/>
        <v>1</v>
      </c>
      <c r="J202" s="3">
        <f t="shared" si="14"/>
        <v>24.99</v>
      </c>
      <c r="K202">
        <f t="shared" si="15"/>
        <v>24.99</v>
      </c>
    </row>
    <row r="203" spans="1:11" x14ac:dyDescent="0.3">
      <c r="A203">
        <v>202</v>
      </c>
      <c r="B203">
        <f>_xlfn.XMATCH(A203,sales_orders[acu_items],1)</f>
        <v>89</v>
      </c>
      <c r="C203" cm="1">
        <f t="array" ref="C203">A203-IF(B203=1,0,INDEX(sales_orders[acu_items],B203-1))</f>
        <v>2</v>
      </c>
      <c r="D203" cm="1">
        <f t="array" ref="D203">INDEX(sales_orders[order_number],B203)</f>
        <v>1864024</v>
      </c>
      <c r="E203" s="1" cm="1">
        <f t="array" ref="E203">INDEX(sales_orders[order_date],B203)</f>
        <v>43868</v>
      </c>
      <c r="F203" t="str" cm="1">
        <f t="array" ref="F203">INDEX(sales_orders[fulfillment],B203)</f>
        <v>In store</v>
      </c>
      <c r="G203" t="str" cm="1">
        <f t="array" ref="G203">INDEX(sales_orders[line_items],B203)</f>
        <v>[_x000D_
  {_x000D_
    "product": {_x000D_
      "product_name": "Contoso Mini Battery Charger Kit E320 White",_x000D_
      "product_price": 24.99_x000D_
    },_x000D_
    "quantity": 1_x000D_
  },_x000D_
  {_x000D_
    "product": {_x000D_
      "product_name": "Proseware Office Jet Wireless All-in-One Inkjet Printer M600 White",_x000D_
      "product_price": 190_x000D_
    },_x000D_
    "quantity": 4_x000D_
  },_x000D_
  {_x000D_
    "product": {_x000D_
      "product_name": "Contoso DVD Player M130 Grey",_x000D_
      "product_price": 59.99_x000D_
    },_x000D_
    "quantity": 1_x000D_
  }_x000D_
]</v>
      </c>
      <c r="H203" t="str">
        <f t="shared" si="12"/>
        <v>Proseware Office Jet Wireless All-in-One Inkjet Printer M600 White</v>
      </c>
      <c r="I203" s="4">
        <f t="shared" si="13"/>
        <v>4</v>
      </c>
      <c r="J203" s="3">
        <f t="shared" si="14"/>
        <v>190</v>
      </c>
      <c r="K203">
        <f t="shared" si="15"/>
        <v>760</v>
      </c>
    </row>
    <row r="204" spans="1:11" x14ac:dyDescent="0.3">
      <c r="A204">
        <v>203</v>
      </c>
      <c r="B204">
        <f>_xlfn.XMATCH(A204,sales_orders[acu_items],1)</f>
        <v>89</v>
      </c>
      <c r="C204" cm="1">
        <f t="array" ref="C204">A204-IF(B204=1,0,INDEX(sales_orders[acu_items],B204-1))</f>
        <v>3</v>
      </c>
      <c r="D204" cm="1">
        <f t="array" ref="D204">INDEX(sales_orders[order_number],B204)</f>
        <v>1864024</v>
      </c>
      <c r="E204" s="1" cm="1">
        <f t="array" ref="E204">INDEX(sales_orders[order_date],B204)</f>
        <v>43868</v>
      </c>
      <c r="F204" t="str" cm="1">
        <f t="array" ref="F204">INDEX(sales_orders[fulfillment],B204)</f>
        <v>In store</v>
      </c>
      <c r="G204" t="str" cm="1">
        <f t="array" ref="G204">INDEX(sales_orders[line_items],B204)</f>
        <v>[_x000D_
  {_x000D_
    "product": {_x000D_
      "product_name": "Contoso Mini Battery Charger Kit E320 White",_x000D_
      "product_price": 24.99_x000D_
    },_x000D_
    "quantity": 1_x000D_
  },_x000D_
  {_x000D_
    "product": {_x000D_
      "product_name": "Proseware Office Jet Wireless All-in-One Inkjet Printer M600 White",_x000D_
      "product_price": 190_x000D_
    },_x000D_
    "quantity": 4_x000D_
  },_x000D_
  {_x000D_
    "product": {_x000D_
      "product_name": "Contoso DVD Player M130 Grey",_x000D_
      "product_price": 59.99_x000D_
    },_x000D_
    "quantity": 1_x000D_
  }_x000D_
]</v>
      </c>
      <c r="H204" t="str">
        <f t="shared" si="12"/>
        <v>Contoso DVD Player M130 Grey</v>
      </c>
      <c r="I204" s="4">
        <f t="shared" si="13"/>
        <v>1</v>
      </c>
      <c r="J204" s="3">
        <f t="shared" si="14"/>
        <v>59.99</v>
      </c>
      <c r="K204">
        <f t="shared" si="15"/>
        <v>59.99</v>
      </c>
    </row>
    <row r="205" spans="1:11" x14ac:dyDescent="0.3">
      <c r="A205">
        <v>204</v>
      </c>
      <c r="B205">
        <f>_xlfn.XMATCH(A205,sales_orders[acu_items],1)</f>
        <v>90</v>
      </c>
      <c r="C205" cm="1">
        <f t="array" ref="C205">A205-IF(B205=1,0,INDEX(sales_orders[acu_items],B205-1))</f>
        <v>1</v>
      </c>
      <c r="D205" cm="1">
        <f t="array" ref="D205">INDEX(sales_orders[order_number],B205)</f>
        <v>1883038</v>
      </c>
      <c r="E205" s="1" cm="1">
        <f t="array" ref="E205">INDEX(sales_orders[order_date],B205)</f>
        <v>43887</v>
      </c>
      <c r="F205" t="str" cm="1">
        <f t="array" ref="F205">INDEX(sales_orders[fulfillment],B205)</f>
        <v>Online</v>
      </c>
      <c r="G205" t="str" cm="1">
        <f t="array" ref="G205">INDEX(sales_orders[line_items],B205)</f>
        <v>[_x000D_
  {_x000D_
    "product": {_x000D_
      "product_name": "WWI 2GB Pulse Smart pen M100 White",_x000D_
      "product_price": 199.95_x000D_
    },_x000D_
    "quantity": 3_x000D_
  }_x000D_
]</v>
      </c>
      <c r="H205" t="str">
        <f t="shared" si="12"/>
        <v>WWI 2GB Pulse Smart pen M100 White</v>
      </c>
      <c r="I205" s="4">
        <f t="shared" si="13"/>
        <v>3</v>
      </c>
      <c r="J205" s="3">
        <f t="shared" si="14"/>
        <v>199.95</v>
      </c>
      <c r="K205">
        <f t="shared" si="15"/>
        <v>599.84999999999991</v>
      </c>
    </row>
    <row r="206" spans="1:11" x14ac:dyDescent="0.3">
      <c r="A206">
        <v>205</v>
      </c>
      <c r="B206">
        <f>_xlfn.XMATCH(A206,sales_orders[acu_items],1)</f>
        <v>91</v>
      </c>
      <c r="C206" cm="1">
        <f t="array" ref="C206">A206-IF(B206=1,0,INDEX(sales_orders[acu_items],B206-1))</f>
        <v>1</v>
      </c>
      <c r="D206" cm="1">
        <f t="array" ref="D206">INDEX(sales_orders[order_number],B206)</f>
        <v>1885000</v>
      </c>
      <c r="E206" s="1" cm="1">
        <f t="array" ref="E206">INDEX(sales_orders[order_date],B206)</f>
        <v>43889</v>
      </c>
      <c r="F206" t="str" cm="1">
        <f t="array" ref="F206">INDEX(sales_orders[fulfillment],B206)</f>
        <v>In store</v>
      </c>
      <c r="G206" t="str" cm="1">
        <f t="array" ref="G206">INDEX(sales_orders[line_items],B206)</f>
        <v>[_x000D_
  {_x000D_
    "product": {_x000D_
      "product_name": "Adventure Works Desktop PC2.30 MD230 Black",_x000D_
      "product_price": 599_x000D_
    },_x000D_
    "quantity": 3_x000D_
  },_x000D_
  {_x000D_
    "product": {_x000D_
      "product_name": "Headphone Adapter for Contoso Phone E130 White",_x000D_
      "product_price": 9.99_x000D_
    },_x000D_
    "quantity": 2_x000D_
  }_x000D_
]</v>
      </c>
      <c r="H206" t="str">
        <f t="shared" si="12"/>
        <v>Adventure Works Desktop PC2.30 MD230 Black</v>
      </c>
      <c r="I206" s="4">
        <f t="shared" si="13"/>
        <v>3</v>
      </c>
      <c r="J206" s="3">
        <f t="shared" si="14"/>
        <v>599</v>
      </c>
      <c r="K206">
        <f t="shared" si="15"/>
        <v>1797</v>
      </c>
    </row>
    <row r="207" spans="1:11" x14ac:dyDescent="0.3">
      <c r="A207">
        <v>206</v>
      </c>
      <c r="B207">
        <f>_xlfn.XMATCH(A207,sales_orders[acu_items],1)</f>
        <v>91</v>
      </c>
      <c r="C207" cm="1">
        <f t="array" ref="C207">A207-IF(B207=1,0,INDEX(sales_orders[acu_items],B207-1))</f>
        <v>2</v>
      </c>
      <c r="D207" cm="1">
        <f t="array" ref="D207">INDEX(sales_orders[order_number],B207)</f>
        <v>1885000</v>
      </c>
      <c r="E207" s="1" cm="1">
        <f t="array" ref="E207">INDEX(sales_orders[order_date],B207)</f>
        <v>43889</v>
      </c>
      <c r="F207" t="str" cm="1">
        <f t="array" ref="F207">INDEX(sales_orders[fulfillment],B207)</f>
        <v>In store</v>
      </c>
      <c r="G207" t="str" cm="1">
        <f t="array" ref="G207">INDEX(sales_orders[line_items],B207)</f>
        <v>[_x000D_
  {_x000D_
    "product": {_x000D_
      "product_name": "Adventure Works Desktop PC2.30 MD230 Black",_x000D_
      "product_price": 599_x000D_
    },_x000D_
    "quantity": 3_x000D_
  },_x000D_
  {_x000D_
    "product": {_x000D_
      "product_name": "Headphone Adapter for Contoso Phone E130 White",_x000D_
      "product_price": 9.99_x000D_
    },_x000D_
    "quantity": 2_x000D_
  }_x000D_
]</v>
      </c>
      <c r="H207" t="str">
        <f t="shared" si="12"/>
        <v>Headphone Adapter for Contoso Phone E130 White</v>
      </c>
      <c r="I207" s="4">
        <f t="shared" si="13"/>
        <v>2</v>
      </c>
      <c r="J207" s="3">
        <f t="shared" si="14"/>
        <v>9.99</v>
      </c>
      <c r="K207">
        <f t="shared" si="15"/>
        <v>19.98</v>
      </c>
    </row>
    <row r="208" spans="1:11" x14ac:dyDescent="0.3">
      <c r="A208">
        <v>207</v>
      </c>
      <c r="B208">
        <f>_xlfn.XMATCH(A208,sales_orders[acu_items],1)</f>
        <v>92</v>
      </c>
      <c r="C208" cm="1">
        <f t="array" ref="C208">A208-IF(B208=1,0,INDEX(sales_orders[acu_items],B208-1))</f>
        <v>1</v>
      </c>
      <c r="D208" cm="1">
        <f t="array" ref="D208">INDEX(sales_orders[order_number],B208)</f>
        <v>1885025</v>
      </c>
      <c r="E208" s="1" cm="1">
        <f t="array" ref="E208">INDEX(sales_orders[order_date],B208)</f>
        <v>43889</v>
      </c>
      <c r="F208" t="str" cm="1">
        <f t="array" ref="F208">INDEX(sales_orders[fulfillment],B208)</f>
        <v>In store</v>
      </c>
      <c r="G208" t="str" cm="1">
        <f t="array" ref="G208">INDEX(sales_orders[line_items],B208)</f>
        <v>[_x000D_
  {_x000D_
    "product": {_x000D_
      "product_name": "Contoso Phone Tough Skin Case E140 White",_x000D_
      "product_price": 23.72_x000D_
    },_x000D_
    "quantity": 1_x000D_
  },_x000D_
  {_x000D_
    "product": {_x000D_
      "product_name": "Adventure Works Desktop PC2.33 XD233 Brown",_x000D_
      "product_price": 969_x000D_
    },_x000D_
    "quantity": 10_x000D_
  }_x000D_
]</v>
      </c>
      <c r="H208" t="str">
        <f t="shared" si="12"/>
        <v>Contoso Phone Tough Skin Case E140 White</v>
      </c>
      <c r="I208" s="4">
        <f t="shared" si="13"/>
        <v>1</v>
      </c>
      <c r="J208" s="3">
        <f t="shared" si="14"/>
        <v>23.72</v>
      </c>
      <c r="K208">
        <f t="shared" si="15"/>
        <v>23.72</v>
      </c>
    </row>
    <row r="209" spans="1:11" x14ac:dyDescent="0.3">
      <c r="A209">
        <v>208</v>
      </c>
      <c r="B209">
        <f>_xlfn.XMATCH(A209,sales_orders[acu_items],1)</f>
        <v>92</v>
      </c>
      <c r="C209" cm="1">
        <f t="array" ref="C209">A209-IF(B209=1,0,INDEX(sales_orders[acu_items],B209-1))</f>
        <v>2</v>
      </c>
      <c r="D209" cm="1">
        <f t="array" ref="D209">INDEX(sales_orders[order_number],B209)</f>
        <v>1885025</v>
      </c>
      <c r="E209" s="1" cm="1">
        <f t="array" ref="E209">INDEX(sales_orders[order_date],B209)</f>
        <v>43889</v>
      </c>
      <c r="F209" t="str" cm="1">
        <f t="array" ref="F209">INDEX(sales_orders[fulfillment],B209)</f>
        <v>In store</v>
      </c>
      <c r="G209" t="str" cm="1">
        <f t="array" ref="G209">INDEX(sales_orders[line_items],B209)</f>
        <v>[_x000D_
  {_x000D_
    "product": {_x000D_
      "product_name": "Contoso Phone Tough Skin Case E140 White",_x000D_
      "product_price": 23.72_x000D_
    },_x000D_
    "quantity": 1_x000D_
  },_x000D_
  {_x000D_
    "product": {_x000D_
      "product_name": "Adventure Works Desktop PC2.33 XD233 Brown",_x000D_
      "product_price": 969_x000D_
    },_x000D_
    "quantity": 10_x000D_
  }_x000D_
]</v>
      </c>
      <c r="H209" t="str">
        <f t="shared" si="12"/>
        <v>Adventure Works Desktop PC2.33 XD233 Brown</v>
      </c>
      <c r="I209" s="4">
        <f t="shared" si="13"/>
        <v>10</v>
      </c>
      <c r="J209" s="3">
        <f t="shared" si="14"/>
        <v>969</v>
      </c>
      <c r="K209">
        <f t="shared" si="15"/>
        <v>9690</v>
      </c>
    </row>
    <row r="210" spans="1:11" x14ac:dyDescent="0.3">
      <c r="A210">
        <v>209</v>
      </c>
      <c r="B210">
        <f>_xlfn.XMATCH(A210,sales_orders[acu_items],1)</f>
        <v>93</v>
      </c>
      <c r="C210" cm="1">
        <f t="array" ref="C210">A210-IF(B210=1,0,INDEX(sales_orders[acu_items],B210-1))</f>
        <v>1</v>
      </c>
      <c r="D210" cm="1">
        <f t="array" ref="D210">INDEX(sales_orders[order_number],B210)</f>
        <v>1893028</v>
      </c>
      <c r="E210" s="1" cm="1">
        <f t="array" ref="E210">INDEX(sales_orders[order_date],B210)</f>
        <v>43897</v>
      </c>
      <c r="F210" t="str" cm="1">
        <f t="array" ref="F210">INDEX(sales_orders[fulfillment],B210)</f>
        <v>In store</v>
      </c>
      <c r="G210" t="str" cm="1">
        <f t="array" ref="G210">INDEX(sales_orders[line_items],B210)</f>
        <v>[_x000D_
  {_x000D_
    "product": {_x000D_
      "product_name": "Contoso Digital Cameras Lightweight Tripod E316 White",_x000D_
      "product_price": 52.13_x000D_
    },_x000D_
    "quantity": 3_x000D_
  },_x000D_
  {_x000D_
    "product": {_x000D_
      "product_name": "Adventure Works LCD24 X300 Black",_x000D_
      "product_price": 819_x000D_
    },_x000D_
    "quantity": 3_x000D_
  }_x000D_
]</v>
      </c>
      <c r="H210" t="str">
        <f t="shared" si="12"/>
        <v>Contoso Digital Cameras Lightweight Tripod E316 White</v>
      </c>
      <c r="I210" s="4">
        <f t="shared" si="13"/>
        <v>3</v>
      </c>
      <c r="J210" s="3">
        <f t="shared" si="14"/>
        <v>52.13</v>
      </c>
      <c r="K210">
        <f t="shared" si="15"/>
        <v>156.39000000000001</v>
      </c>
    </row>
    <row r="211" spans="1:11" x14ac:dyDescent="0.3">
      <c r="A211">
        <v>210</v>
      </c>
      <c r="B211">
        <f>_xlfn.XMATCH(A211,sales_orders[acu_items],1)</f>
        <v>93</v>
      </c>
      <c r="C211" cm="1">
        <f t="array" ref="C211">A211-IF(B211=1,0,INDEX(sales_orders[acu_items],B211-1))</f>
        <v>2</v>
      </c>
      <c r="D211" cm="1">
        <f t="array" ref="D211">INDEX(sales_orders[order_number],B211)</f>
        <v>1893028</v>
      </c>
      <c r="E211" s="1" cm="1">
        <f t="array" ref="E211">INDEX(sales_orders[order_date],B211)</f>
        <v>43897</v>
      </c>
      <c r="F211" t="str" cm="1">
        <f t="array" ref="F211">INDEX(sales_orders[fulfillment],B211)</f>
        <v>In store</v>
      </c>
      <c r="G211" t="str" cm="1">
        <f t="array" ref="G211">INDEX(sales_orders[line_items],B211)</f>
        <v>[_x000D_
  {_x000D_
    "product": {_x000D_
      "product_name": "Contoso Digital Cameras Lightweight Tripod E316 White",_x000D_
      "product_price": 52.13_x000D_
    },_x000D_
    "quantity": 3_x000D_
  },_x000D_
  {_x000D_
    "product": {_x000D_
      "product_name": "Adventure Works LCD24 X300 Black",_x000D_
      "product_price": 819_x000D_
    },_x000D_
    "quantity": 3_x000D_
  }_x000D_
]</v>
      </c>
      <c r="H211" t="str">
        <f t="shared" si="12"/>
        <v>Adventure Works LCD24 X300 Black</v>
      </c>
      <c r="I211" s="4">
        <f t="shared" si="13"/>
        <v>3</v>
      </c>
      <c r="J211" s="3">
        <f t="shared" si="14"/>
        <v>819</v>
      </c>
      <c r="K211">
        <f t="shared" si="15"/>
        <v>2457</v>
      </c>
    </row>
    <row r="212" spans="1:11" x14ac:dyDescent="0.3">
      <c r="A212">
        <v>211</v>
      </c>
      <c r="B212">
        <f>_xlfn.XMATCH(A212,sales_orders[acu_items],1)</f>
        <v>94</v>
      </c>
      <c r="C212" cm="1">
        <f t="array" ref="C212">A212-IF(B212=1,0,INDEX(sales_orders[acu_items],B212-1))</f>
        <v>1</v>
      </c>
      <c r="D212" cm="1">
        <f t="array" ref="D212">INDEX(sales_orders[order_number],B212)</f>
        <v>1947015</v>
      </c>
      <c r="E212" s="1" cm="1">
        <f t="array" ref="E212">INDEX(sales_orders[order_date],B212)</f>
        <v>43951</v>
      </c>
      <c r="F212" t="str" cm="1">
        <f t="array" ref="F212">INDEX(sales_orders[fulfillment],B212)</f>
        <v>In store</v>
      </c>
      <c r="G212" t="str" cm="1">
        <f t="array" ref="G212">INDEX(sales_orders[line_items],B212)</f>
        <v>[_x000D_
  {_x000D_
    "product": {_x000D_
      "product_name": "The Phone Company PDA GPS Phone 3.5 inch M910 Black",_x000D_
      "product_price": 268_x000D_
    },_x000D_
    "quantity": 9_x000D_
  }_x000D_
]</v>
      </c>
      <c r="H212" t="str">
        <f t="shared" si="12"/>
        <v>The Phone Company PDA GPS Phone 3.5 inch M910 Black</v>
      </c>
      <c r="I212" s="4">
        <f t="shared" si="13"/>
        <v>9</v>
      </c>
      <c r="J212" s="3">
        <f t="shared" si="14"/>
        <v>268</v>
      </c>
      <c r="K212">
        <f t="shared" si="15"/>
        <v>2412</v>
      </c>
    </row>
    <row r="213" spans="1:11" x14ac:dyDescent="0.3">
      <c r="A213">
        <v>212</v>
      </c>
      <c r="B213">
        <f>_xlfn.XMATCH(A213,sales_orders[acu_items],1)</f>
        <v>95</v>
      </c>
      <c r="C213" cm="1">
        <f t="array" ref="C213">A213-IF(B213=1,0,INDEX(sales_orders[acu_items],B213-1))</f>
        <v>1</v>
      </c>
      <c r="D213" cm="1">
        <f t="array" ref="D213">INDEX(sales_orders[order_number],B213)</f>
        <v>1983004</v>
      </c>
      <c r="E213" s="1" cm="1">
        <f t="array" ref="E213">INDEX(sales_orders[order_date],B213)</f>
        <v>43987</v>
      </c>
      <c r="F213" t="str" cm="1">
        <f t="array" ref="F213">INDEX(sales_orders[fulfillment],B213)</f>
        <v>In store</v>
      </c>
      <c r="G213" t="str" cm="1">
        <f t="array" ref="G213">INDEX(sales_orders[line_items],B213)</f>
        <v>[_x000D_
  {_x000D_
    "product": {_x000D_
      "product_name": "Adventure Works Desktop PC1.80 ED182 White",_x000D_
      "product_price": 499.9_x000D_
    },_x000D_
    "quantity": 8_x000D_
  },_x000D_
  {_x000D_
    "product": {_x000D_
      "product_name": "WWI Desktop PC3.0 M0300 Silver",_x000D_
      "product_price": 349_x000D_
    },_x000D_
    "quantity": 2_x000D_
  },_x000D_
  {_x000D_
    "product": {_x000D_
      "product_name": "SV DVD 38 DVD Storage Binder E25 Black",_x000D_
      "product_price": 9.99_x000D_
    },_x000D_
    "quantity": 1_x000D_
  }_x000D_
]</v>
      </c>
      <c r="H213" t="str">
        <f t="shared" si="12"/>
        <v>Adventure Works Desktop PC1.80 ED182 White</v>
      </c>
      <c r="I213" s="4">
        <f t="shared" si="13"/>
        <v>8</v>
      </c>
      <c r="J213" s="3">
        <f t="shared" si="14"/>
        <v>499.9</v>
      </c>
      <c r="K213">
        <f t="shared" si="15"/>
        <v>3999.2</v>
      </c>
    </row>
    <row r="214" spans="1:11" x14ac:dyDescent="0.3">
      <c r="A214">
        <v>213</v>
      </c>
      <c r="B214">
        <f>_xlfn.XMATCH(A214,sales_orders[acu_items],1)</f>
        <v>95</v>
      </c>
      <c r="C214" cm="1">
        <f t="array" ref="C214">A214-IF(B214=1,0,INDEX(sales_orders[acu_items],B214-1))</f>
        <v>2</v>
      </c>
      <c r="D214" cm="1">
        <f t="array" ref="D214">INDEX(sales_orders[order_number],B214)</f>
        <v>1983004</v>
      </c>
      <c r="E214" s="1" cm="1">
        <f t="array" ref="E214">INDEX(sales_orders[order_date],B214)</f>
        <v>43987</v>
      </c>
      <c r="F214" t="str" cm="1">
        <f t="array" ref="F214">INDEX(sales_orders[fulfillment],B214)</f>
        <v>In store</v>
      </c>
      <c r="G214" t="str" cm="1">
        <f t="array" ref="G214">INDEX(sales_orders[line_items],B214)</f>
        <v>[_x000D_
  {_x000D_
    "product": {_x000D_
      "product_name": "Adventure Works Desktop PC1.80 ED182 White",_x000D_
      "product_price": 499.9_x000D_
    },_x000D_
    "quantity": 8_x000D_
  },_x000D_
  {_x000D_
    "product": {_x000D_
      "product_name": "WWI Desktop PC3.0 M0300 Silver",_x000D_
      "product_price": 349_x000D_
    },_x000D_
    "quantity": 2_x000D_
  },_x000D_
  {_x000D_
    "product": {_x000D_
      "product_name": "SV DVD 38 DVD Storage Binder E25 Black",_x000D_
      "product_price": 9.99_x000D_
    },_x000D_
    "quantity": 1_x000D_
  }_x000D_
]</v>
      </c>
      <c r="H214" t="str">
        <f t="shared" si="12"/>
        <v>WWI Desktop PC3.0 M0300 Silver</v>
      </c>
      <c r="I214" s="4">
        <f t="shared" si="13"/>
        <v>2</v>
      </c>
      <c r="J214" s="3">
        <f t="shared" si="14"/>
        <v>349</v>
      </c>
      <c r="K214">
        <f t="shared" si="15"/>
        <v>698</v>
      </c>
    </row>
    <row r="215" spans="1:11" x14ac:dyDescent="0.3">
      <c r="A215">
        <v>214</v>
      </c>
      <c r="B215">
        <f>_xlfn.XMATCH(A215,sales_orders[acu_items],1)</f>
        <v>95</v>
      </c>
      <c r="C215" cm="1">
        <f t="array" ref="C215">A215-IF(B215=1,0,INDEX(sales_orders[acu_items],B215-1))</f>
        <v>3</v>
      </c>
      <c r="D215" cm="1">
        <f t="array" ref="D215">INDEX(sales_orders[order_number],B215)</f>
        <v>1983004</v>
      </c>
      <c r="E215" s="1" cm="1">
        <f t="array" ref="E215">INDEX(sales_orders[order_date],B215)</f>
        <v>43987</v>
      </c>
      <c r="F215" t="str" cm="1">
        <f t="array" ref="F215">INDEX(sales_orders[fulfillment],B215)</f>
        <v>In store</v>
      </c>
      <c r="G215" t="str" cm="1">
        <f t="array" ref="G215">INDEX(sales_orders[line_items],B215)</f>
        <v>[_x000D_
  {_x000D_
    "product": {_x000D_
      "product_name": "Adventure Works Desktop PC1.80 ED182 White",_x000D_
      "product_price": 499.9_x000D_
    },_x000D_
    "quantity": 8_x000D_
  },_x000D_
  {_x000D_
    "product": {_x000D_
      "product_name": "WWI Desktop PC3.0 M0300 Silver",_x000D_
      "product_price": 349_x000D_
    },_x000D_
    "quantity": 2_x000D_
  },_x000D_
  {_x000D_
    "product": {_x000D_
      "product_name": "SV DVD 38 DVD Storage Binder E25 Black",_x000D_
      "product_price": 9.99_x000D_
    },_x000D_
    "quantity": 1_x000D_
  }_x000D_
]</v>
      </c>
      <c r="H215" t="str">
        <f t="shared" si="12"/>
        <v>SV DVD 38 DVD Storage Binder E25 Black</v>
      </c>
      <c r="I215" s="4">
        <f t="shared" si="13"/>
        <v>1</v>
      </c>
      <c r="J215" s="3">
        <f t="shared" si="14"/>
        <v>9.99</v>
      </c>
      <c r="K215">
        <f t="shared" si="15"/>
        <v>9.99</v>
      </c>
    </row>
    <row r="216" spans="1:11" x14ac:dyDescent="0.3">
      <c r="A216">
        <v>215</v>
      </c>
      <c r="B216">
        <f>_xlfn.XMATCH(A216,sales_orders[acu_items],1)</f>
        <v>96</v>
      </c>
      <c r="C216" cm="1">
        <f t="array" ref="C216">A216-IF(B216=1,0,INDEX(sales_orders[acu_items],B216-1))</f>
        <v>1</v>
      </c>
      <c r="D216" cm="1">
        <f t="array" ref="D216">INDEX(sales_orders[order_number],B216)</f>
        <v>2144004</v>
      </c>
      <c r="E216" s="1" cm="1">
        <f t="array" ref="E216">INDEX(sales_orders[order_date],B216)</f>
        <v>44148</v>
      </c>
      <c r="F216" t="str" cm="1">
        <f t="array" ref="F216">INDEX(sales_orders[fulfillment],B216)</f>
        <v>In store</v>
      </c>
      <c r="G216" t="str" cm="1">
        <f t="array" ref="G216">INDEX(sales_orders[line_items],B216)</f>
        <v>[_x000D_
  {_x000D_
    "product": {_x000D_
      "product_name": "Fabrikam Laptop10.1 M0101 Silver",_x000D_
      "product_price": 384.9_x000D_
    },_x000D_
    "quantity": 4_x000D_
  },_x000D_
  {_x000D_
    "product": {_x000D_
      "product_name": "Adventure Works Desktop PC1.80 ED180 Brown",_x000D_
      "product_price": 369_x000D_
    },_x000D_
    "quantity": 1_x000D_
  },_x000D_
  {_x000D_
    "product": {_x000D_
      "product_name": "The Phone Company PDA Wifi 3.5-inch M200 Silver",_x000D_
      "product_price": 280_x000D_
    },_x000D_
    "quantity": 3_x000D_
  }_x000D_
]</v>
      </c>
      <c r="H216" t="str">
        <f t="shared" si="12"/>
        <v>Fabrikam Laptop10.1 M0101 Silver</v>
      </c>
      <c r="I216" s="4">
        <f t="shared" si="13"/>
        <v>4</v>
      </c>
      <c r="J216" s="3">
        <f t="shared" si="14"/>
        <v>384.9</v>
      </c>
      <c r="K216">
        <f t="shared" si="15"/>
        <v>1539.6</v>
      </c>
    </row>
    <row r="217" spans="1:11" x14ac:dyDescent="0.3">
      <c r="A217">
        <v>216</v>
      </c>
      <c r="B217">
        <f>_xlfn.XMATCH(A217,sales_orders[acu_items],1)</f>
        <v>96</v>
      </c>
      <c r="C217" cm="1">
        <f t="array" ref="C217">A217-IF(B217=1,0,INDEX(sales_orders[acu_items],B217-1))</f>
        <v>2</v>
      </c>
      <c r="D217" cm="1">
        <f t="array" ref="D217">INDEX(sales_orders[order_number],B217)</f>
        <v>2144004</v>
      </c>
      <c r="E217" s="1" cm="1">
        <f t="array" ref="E217">INDEX(sales_orders[order_date],B217)</f>
        <v>44148</v>
      </c>
      <c r="F217" t="str" cm="1">
        <f t="array" ref="F217">INDEX(sales_orders[fulfillment],B217)</f>
        <v>In store</v>
      </c>
      <c r="G217" t="str" cm="1">
        <f t="array" ref="G217">INDEX(sales_orders[line_items],B217)</f>
        <v>[_x000D_
  {_x000D_
    "product": {_x000D_
      "product_name": "Fabrikam Laptop10.1 M0101 Silver",_x000D_
      "product_price": 384.9_x000D_
    },_x000D_
    "quantity": 4_x000D_
  },_x000D_
  {_x000D_
    "product": {_x000D_
      "product_name": "Adventure Works Desktop PC1.80 ED180 Brown",_x000D_
      "product_price": 369_x000D_
    },_x000D_
    "quantity": 1_x000D_
  },_x000D_
  {_x000D_
    "product": {_x000D_
      "product_name": "The Phone Company PDA Wifi 3.5-inch M200 Silver",_x000D_
      "product_price": 280_x000D_
    },_x000D_
    "quantity": 3_x000D_
  }_x000D_
]</v>
      </c>
      <c r="H217" t="str">
        <f t="shared" si="12"/>
        <v>Adventure Works Desktop PC1.80 ED180 Brown</v>
      </c>
      <c r="I217" s="4">
        <f t="shared" si="13"/>
        <v>1</v>
      </c>
      <c r="J217" s="3">
        <f t="shared" si="14"/>
        <v>369</v>
      </c>
      <c r="K217">
        <f t="shared" si="15"/>
        <v>369</v>
      </c>
    </row>
    <row r="218" spans="1:11" x14ac:dyDescent="0.3">
      <c r="A218">
        <v>217</v>
      </c>
      <c r="B218">
        <f>_xlfn.XMATCH(A218,sales_orders[acu_items],1)</f>
        <v>96</v>
      </c>
      <c r="C218" cm="1">
        <f t="array" ref="C218">A218-IF(B218=1,0,INDEX(sales_orders[acu_items],B218-1))</f>
        <v>3</v>
      </c>
      <c r="D218" cm="1">
        <f t="array" ref="D218">INDEX(sales_orders[order_number],B218)</f>
        <v>2144004</v>
      </c>
      <c r="E218" s="1" cm="1">
        <f t="array" ref="E218">INDEX(sales_orders[order_date],B218)</f>
        <v>44148</v>
      </c>
      <c r="F218" t="str" cm="1">
        <f t="array" ref="F218">INDEX(sales_orders[fulfillment],B218)</f>
        <v>In store</v>
      </c>
      <c r="G218" t="str" cm="1">
        <f t="array" ref="G218">INDEX(sales_orders[line_items],B218)</f>
        <v>[_x000D_
  {_x000D_
    "product": {_x000D_
      "product_name": "Fabrikam Laptop10.1 M0101 Silver",_x000D_
      "product_price": 384.9_x000D_
    },_x000D_
    "quantity": 4_x000D_
  },_x000D_
  {_x000D_
    "product": {_x000D_
      "product_name": "Adventure Works Desktop PC1.80 ED180 Brown",_x000D_
      "product_price": 369_x000D_
    },_x000D_
    "quantity": 1_x000D_
  },_x000D_
  {_x000D_
    "product": {_x000D_
      "product_name": "The Phone Company PDA Wifi 3.5-inch M200 Silver",_x000D_
      "product_price": 280_x000D_
    },_x000D_
    "quantity": 3_x000D_
  }_x000D_
]</v>
      </c>
      <c r="H218" t="str">
        <f t="shared" si="12"/>
        <v>The Phone Company PDA Wifi 3.5-inch M200 Silver</v>
      </c>
      <c r="I218" s="4">
        <f t="shared" si="13"/>
        <v>3</v>
      </c>
      <c r="J218" s="3">
        <f t="shared" si="14"/>
        <v>280</v>
      </c>
      <c r="K218">
        <f t="shared" si="15"/>
        <v>840</v>
      </c>
    </row>
    <row r="219" spans="1:11" x14ac:dyDescent="0.3">
      <c r="A219">
        <v>218</v>
      </c>
      <c r="B219">
        <f>_xlfn.XMATCH(A219,sales_orders[acu_items],1)</f>
        <v>97</v>
      </c>
      <c r="C219" cm="1">
        <f t="array" ref="C219">A219-IF(B219=1,0,INDEX(sales_orders[acu_items],B219-1))</f>
        <v>1</v>
      </c>
      <c r="D219" cm="1">
        <f t="array" ref="D219">INDEX(sales_orders[order_number],B219)</f>
        <v>2152009</v>
      </c>
      <c r="E219" s="1" cm="1">
        <f t="array" ref="E219">INDEX(sales_orders[order_date],B219)</f>
        <v>44156</v>
      </c>
      <c r="F219" t="str" cm="1">
        <f t="array" ref="F219">INDEX(sales_orders[fulfillment],B219)</f>
        <v>Online</v>
      </c>
      <c r="G219" t="str" cm="1">
        <f t="array" ref="G219">INDEX(sales_orders[line_items],B219)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19" t="str">
        <f t="shared" si="12"/>
        <v>Contoso Hybrid system M60 Grey</v>
      </c>
      <c r="I219" s="4">
        <f t="shared" si="13"/>
        <v>1</v>
      </c>
      <c r="J219" s="3">
        <f t="shared" si="14"/>
        <v>28.99</v>
      </c>
      <c r="K219">
        <f t="shared" si="15"/>
        <v>28.99</v>
      </c>
    </row>
    <row r="220" spans="1:11" x14ac:dyDescent="0.3">
      <c r="A220">
        <v>219</v>
      </c>
      <c r="B220">
        <f>_xlfn.XMATCH(A220,sales_orders[acu_items],1)</f>
        <v>97</v>
      </c>
      <c r="C220" cm="1">
        <f t="array" ref="C220">A220-IF(B220=1,0,INDEX(sales_orders[acu_items],B220-1))</f>
        <v>2</v>
      </c>
      <c r="D220" cm="1">
        <f t="array" ref="D220">INDEX(sales_orders[order_number],B220)</f>
        <v>2152009</v>
      </c>
      <c r="E220" s="1" cm="1">
        <f t="array" ref="E220">INDEX(sales_orders[order_date],B220)</f>
        <v>44156</v>
      </c>
      <c r="F220" t="str" cm="1">
        <f t="array" ref="F220">INDEX(sales_orders[fulfillment],B220)</f>
        <v>Online</v>
      </c>
      <c r="G220" t="str" cm="1">
        <f t="array" ref="G220">INDEX(sales_orders[line_items],B220)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20" t="str">
        <f t="shared" si="12"/>
        <v>Contoso DVD 60 DVD Storage Binder L20 Black</v>
      </c>
      <c r="I220" s="4">
        <f t="shared" si="13"/>
        <v>4</v>
      </c>
      <c r="J220" s="3">
        <f t="shared" si="14"/>
        <v>22.89</v>
      </c>
      <c r="K220">
        <f t="shared" si="15"/>
        <v>91.56</v>
      </c>
    </row>
    <row r="221" spans="1:11" x14ac:dyDescent="0.3">
      <c r="A221">
        <v>220</v>
      </c>
      <c r="B221">
        <f>_xlfn.XMATCH(A221,sales_orders[acu_items],1)</f>
        <v>97</v>
      </c>
      <c r="C221" cm="1">
        <f t="array" ref="C221">A221-IF(B221=1,0,INDEX(sales_orders[acu_items],B221-1))</f>
        <v>3</v>
      </c>
      <c r="D221" cm="1">
        <f t="array" ref="D221">INDEX(sales_orders[order_number],B221)</f>
        <v>2152009</v>
      </c>
      <c r="E221" s="1" cm="1">
        <f t="array" ref="E221">INDEX(sales_orders[order_date],B221)</f>
        <v>44156</v>
      </c>
      <c r="F221" t="str" cm="1">
        <f t="array" ref="F221">INDEX(sales_orders[fulfillment],B221)</f>
        <v>Online</v>
      </c>
      <c r="G221" t="str" cm="1">
        <f t="array" ref="G221">INDEX(sales_orders[line_items],B221)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21" t="str">
        <f t="shared" si="12"/>
        <v>Litware Home Theater System 7.1 Channel X711 Silver</v>
      </c>
      <c r="I221" s="4">
        <f t="shared" si="13"/>
        <v>1</v>
      </c>
      <c r="J221" s="3">
        <f t="shared" si="14"/>
        <v>1109</v>
      </c>
      <c r="K221">
        <f t="shared" si="15"/>
        <v>1109</v>
      </c>
    </row>
    <row r="222" spans="1:11" x14ac:dyDescent="0.3">
      <c r="A222">
        <v>221</v>
      </c>
      <c r="B222">
        <f>_xlfn.XMATCH(A222,sales_orders[acu_items],1)</f>
        <v>97</v>
      </c>
      <c r="C222" cm="1">
        <f t="array" ref="C222">A222-IF(B222=1,0,INDEX(sales_orders[acu_items],B222-1))</f>
        <v>4</v>
      </c>
      <c r="D222" cm="1">
        <f t="array" ref="D222">INDEX(sales_orders[order_number],B222)</f>
        <v>2152009</v>
      </c>
      <c r="E222" s="1" cm="1">
        <f t="array" ref="E222">INDEX(sales_orders[order_date],B222)</f>
        <v>44156</v>
      </c>
      <c r="F222" t="str" cm="1">
        <f t="array" ref="F222">INDEX(sales_orders[fulfillment],B222)</f>
        <v>Online</v>
      </c>
      <c r="G222" t="str" cm="1">
        <f t="array" ref="G222">INDEX(sales_orders[line_items],B222)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22" t="str">
        <f t="shared" si="12"/>
        <v>SV DVD 60 DVD Storage Binder L20 Red</v>
      </c>
      <c r="I222" s="4">
        <f t="shared" si="13"/>
        <v>2</v>
      </c>
      <c r="J222" s="3">
        <f t="shared" si="14"/>
        <v>22.89</v>
      </c>
      <c r="K222">
        <f t="shared" si="15"/>
        <v>45.78</v>
      </c>
    </row>
    <row r="223" spans="1:11" x14ac:dyDescent="0.3">
      <c r="A223">
        <v>222</v>
      </c>
      <c r="B223">
        <f>_xlfn.XMATCH(A223,sales_orders[acu_items],1)</f>
        <v>97</v>
      </c>
      <c r="C223" cm="1">
        <f t="array" ref="C223">A223-IF(B223=1,0,INDEX(sales_orders[acu_items],B223-1))</f>
        <v>5</v>
      </c>
      <c r="D223" cm="1">
        <f t="array" ref="D223">INDEX(sales_orders[order_number],B223)</f>
        <v>2152009</v>
      </c>
      <c r="E223" s="1" cm="1">
        <f t="array" ref="E223">INDEX(sales_orders[order_date],B223)</f>
        <v>44156</v>
      </c>
      <c r="F223" t="str" cm="1">
        <f t="array" ref="F223">INDEX(sales_orders[fulfillment],B223)</f>
        <v>Online</v>
      </c>
      <c r="G223" t="str" cm="1">
        <f t="array" ref="G223">INDEX(sales_orders[line_items],B223)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23" t="str">
        <f t="shared" si="12"/>
        <v>WWI 1GB Digital Voice Recorder Pen E100 White</v>
      </c>
      <c r="I223" s="4">
        <f t="shared" si="13"/>
        <v>4</v>
      </c>
      <c r="J223" s="3">
        <f t="shared" si="14"/>
        <v>156</v>
      </c>
      <c r="K223">
        <f t="shared" si="15"/>
        <v>624</v>
      </c>
    </row>
    <row r="224" spans="1:11" x14ac:dyDescent="0.3">
      <c r="A224">
        <v>223</v>
      </c>
      <c r="B224">
        <f>_xlfn.XMATCH(A224,sales_orders[acu_items],1)</f>
        <v>97</v>
      </c>
      <c r="C224" cm="1">
        <f t="array" ref="C224">A224-IF(B224=1,0,INDEX(sales_orders[acu_items],B224-1))</f>
        <v>6</v>
      </c>
      <c r="D224" cm="1">
        <f t="array" ref="D224">INDEX(sales_orders[order_number],B224)</f>
        <v>2152009</v>
      </c>
      <c r="E224" s="1" cm="1">
        <f t="array" ref="E224">INDEX(sales_orders[order_date],B224)</f>
        <v>44156</v>
      </c>
      <c r="F224" t="str" cm="1">
        <f t="array" ref="F224">INDEX(sales_orders[fulfillment],B224)</f>
        <v>Online</v>
      </c>
      <c r="G224" t="str" cm="1">
        <f t="array" ref="G224">INDEX(sales_orders[line_items],B224)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24" t="str">
        <f t="shared" si="12"/>
        <v>Contoso Touch Stylus Pen E150 Silver</v>
      </c>
      <c r="I224" s="4">
        <f t="shared" si="13"/>
        <v>4</v>
      </c>
      <c r="J224" s="3">
        <f t="shared" si="14"/>
        <v>9.99</v>
      </c>
      <c r="K224">
        <f t="shared" si="15"/>
        <v>39.96</v>
      </c>
    </row>
    <row r="225" spans="1:11" x14ac:dyDescent="0.3">
      <c r="A225">
        <v>224</v>
      </c>
      <c r="B225">
        <f>_xlfn.XMATCH(A225,sales_orders[acu_items],1)</f>
        <v>97</v>
      </c>
      <c r="C225" cm="1">
        <f t="array" ref="C225">A225-IF(B225=1,0,INDEX(sales_orders[acu_items],B225-1))</f>
        <v>7</v>
      </c>
      <c r="D225" cm="1">
        <f t="array" ref="D225">INDEX(sales_orders[order_number],B225)</f>
        <v>2152009</v>
      </c>
      <c r="E225" s="1" cm="1">
        <f t="array" ref="E225">INDEX(sales_orders[order_date],B225)</f>
        <v>44156</v>
      </c>
      <c r="F225" t="str" cm="1">
        <f t="array" ref="F225">INDEX(sales_orders[fulfillment],B225)</f>
        <v>Online</v>
      </c>
      <c r="G225" t="str" cm="1">
        <f t="array" ref="G225">INDEX(sales_orders[line_items],B225)</f>
        <v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v>
      </c>
      <c r="H225" t="str">
        <f t="shared" si="12"/>
        <v>SV DVD External DVD Burner M200 Blue</v>
      </c>
      <c r="I225" s="4">
        <f t="shared" si="13"/>
        <v>3</v>
      </c>
      <c r="J225" s="3">
        <f t="shared" si="14"/>
        <v>57.88</v>
      </c>
      <c r="K225">
        <f t="shared" si="15"/>
        <v>173.64000000000001</v>
      </c>
    </row>
    <row r="226" spans="1:11" x14ac:dyDescent="0.3">
      <c r="A226">
        <v>225</v>
      </c>
      <c r="B226">
        <f>_xlfn.XMATCH(A226,sales_orders[acu_items],1)</f>
        <v>98</v>
      </c>
      <c r="C226" cm="1">
        <f t="array" ref="C226">A226-IF(B226=1,0,INDEX(sales_orders[acu_items],B226-1))</f>
        <v>1</v>
      </c>
      <c r="D226" cm="1">
        <f t="array" ref="D226">INDEX(sales_orders[order_number],B226)</f>
        <v>2165005</v>
      </c>
      <c r="E226" s="1" cm="1">
        <f t="array" ref="E226">INDEX(sales_orders[order_date],B226)</f>
        <v>44169</v>
      </c>
      <c r="F226" t="str" cm="1">
        <f t="array" ref="F226">INDEX(sales_orders[fulfillment],B226)</f>
        <v>In store</v>
      </c>
      <c r="G226" t="str" cm="1">
        <f t="array" ref="G226">INDEX(sales_orders[line_items],B226)</f>
        <v>[_x000D_
  {_x000D_
    "product": {_x000D_
      "product_name": "Contoso Pen Touch Screen Phones M320 Black",_x000D_
      "product_price": 290_x000D_
    },_x000D_
    "quantity": 1_x000D_
  }_x000D_
]</v>
      </c>
      <c r="H226" t="str">
        <f t="shared" si="12"/>
        <v>Contoso Pen Touch Screen Phones M320 Black</v>
      </c>
      <c r="I226" s="4">
        <f t="shared" si="13"/>
        <v>1</v>
      </c>
      <c r="J226" s="3">
        <f t="shared" si="14"/>
        <v>290</v>
      </c>
      <c r="K226">
        <f t="shared" si="15"/>
        <v>290</v>
      </c>
    </row>
    <row r="227" spans="1:11" x14ac:dyDescent="0.3">
      <c r="A227">
        <v>226</v>
      </c>
      <c r="B227">
        <f>_xlfn.XMATCH(A227,sales_orders[acu_items],1)</f>
        <v>99</v>
      </c>
      <c r="C227" cm="1">
        <f t="array" ref="C227">A227-IF(B227=1,0,INDEX(sales_orders[acu_items],B227-1))</f>
        <v>1</v>
      </c>
      <c r="D227" cm="1">
        <f t="array" ref="D227">INDEX(sales_orders[order_number],B227)</f>
        <v>2175000</v>
      </c>
      <c r="E227" s="1" cm="1">
        <f t="array" ref="E227">INDEX(sales_orders[order_date],B227)</f>
        <v>44179</v>
      </c>
      <c r="F227" t="str" cm="1">
        <f t="array" ref="F227">INDEX(sales_orders[fulfillment],B227)</f>
        <v>In store</v>
      </c>
      <c r="G227" t="str" cm="1">
        <f t="array" ref="G227">INDEX(sales_orders[line_items],B227)</f>
        <v>[_x000D_
  {_x000D_
    "product": {_x000D_
      "product_name": "The Phone Company Smart phones without camera E100 Grey",_x000D_
      "product_price": 129_x000D_
    },_x000D_
    "quantity": 2_x000D_
  },_x000D_
  {_x000D_
    "product": {_x000D_
      "product_name": "The Phone Company PDA Phone Unlocked 3.7 inches M510 White",_x000D_
      "product_price": 238_x000D_
    },_x000D_
    "quantity": 4_x000D_
  },_x000D_
  {_x000D_
    "product": {_x000D_
      "product_name": "Fabrikam Laptop10.1 M0101 Silver",_x000D_
      "product_price": 384.9_x000D_
    },_x000D_
    "quantity": 3_x000D_
  },_x000D_
  {_x000D_
    "product": {_x000D_
      "product_name": "SV DVD 14-Inch Player Portable L100 White",_x000D_
      "product_price": 259.99_x000D_
    },_x000D_
    "quantity": 4_x000D_
  }_x000D_
]</v>
      </c>
      <c r="H227" t="str">
        <f t="shared" si="12"/>
        <v>The Phone Company Smart phones without camera E100 Grey</v>
      </c>
      <c r="I227" s="4">
        <f t="shared" si="13"/>
        <v>2</v>
      </c>
      <c r="J227" s="3">
        <f t="shared" si="14"/>
        <v>129</v>
      </c>
      <c r="K227">
        <f t="shared" si="15"/>
        <v>258</v>
      </c>
    </row>
    <row r="228" spans="1:11" x14ac:dyDescent="0.3">
      <c r="A228">
        <v>227</v>
      </c>
      <c r="B228">
        <f>_xlfn.XMATCH(A228,sales_orders[acu_items],1)</f>
        <v>99</v>
      </c>
      <c r="C228" cm="1">
        <f t="array" ref="C228">A228-IF(B228=1,0,INDEX(sales_orders[acu_items],B228-1))</f>
        <v>2</v>
      </c>
      <c r="D228" cm="1">
        <f t="array" ref="D228">INDEX(sales_orders[order_number],B228)</f>
        <v>2175000</v>
      </c>
      <c r="E228" s="1" cm="1">
        <f t="array" ref="E228">INDEX(sales_orders[order_date],B228)</f>
        <v>44179</v>
      </c>
      <c r="F228" t="str" cm="1">
        <f t="array" ref="F228">INDEX(sales_orders[fulfillment],B228)</f>
        <v>In store</v>
      </c>
      <c r="G228" t="str" cm="1">
        <f t="array" ref="G228">INDEX(sales_orders[line_items],B228)</f>
        <v>[_x000D_
  {_x000D_
    "product": {_x000D_
      "product_name": "The Phone Company Smart phones without camera E100 Grey",_x000D_
      "product_price": 129_x000D_
    },_x000D_
    "quantity": 2_x000D_
  },_x000D_
  {_x000D_
    "product": {_x000D_
      "product_name": "The Phone Company PDA Phone Unlocked 3.7 inches M510 White",_x000D_
      "product_price": 238_x000D_
    },_x000D_
    "quantity": 4_x000D_
  },_x000D_
  {_x000D_
    "product": {_x000D_
      "product_name": "Fabrikam Laptop10.1 M0101 Silver",_x000D_
      "product_price": 384.9_x000D_
    },_x000D_
    "quantity": 3_x000D_
  },_x000D_
  {_x000D_
    "product": {_x000D_
      "product_name": "SV DVD 14-Inch Player Portable L100 White",_x000D_
      "product_price": 259.99_x000D_
    },_x000D_
    "quantity": 4_x000D_
  }_x000D_
]</v>
      </c>
      <c r="H228" t="str">
        <f t="shared" si="12"/>
        <v>The Phone Company PDA Phone Unlocked 3.7 inches M510 White</v>
      </c>
      <c r="I228" s="4">
        <f t="shared" si="13"/>
        <v>4</v>
      </c>
      <c r="J228" s="3">
        <f t="shared" si="14"/>
        <v>238</v>
      </c>
      <c r="K228">
        <f t="shared" si="15"/>
        <v>952</v>
      </c>
    </row>
    <row r="229" spans="1:11" x14ac:dyDescent="0.3">
      <c r="A229">
        <v>228</v>
      </c>
      <c r="B229">
        <f>_xlfn.XMATCH(A229,sales_orders[acu_items],1)</f>
        <v>99</v>
      </c>
      <c r="C229" cm="1">
        <f t="array" ref="C229">A229-IF(B229=1,0,INDEX(sales_orders[acu_items],B229-1))</f>
        <v>3</v>
      </c>
      <c r="D229" cm="1">
        <f t="array" ref="D229">INDEX(sales_orders[order_number],B229)</f>
        <v>2175000</v>
      </c>
      <c r="E229" s="1" cm="1">
        <f t="array" ref="E229">INDEX(sales_orders[order_date],B229)</f>
        <v>44179</v>
      </c>
      <c r="F229" t="str" cm="1">
        <f t="array" ref="F229">INDEX(sales_orders[fulfillment],B229)</f>
        <v>In store</v>
      </c>
      <c r="G229" t="str" cm="1">
        <f t="array" ref="G229">INDEX(sales_orders[line_items],B229)</f>
        <v>[_x000D_
  {_x000D_
    "product": {_x000D_
      "product_name": "The Phone Company Smart phones without camera E100 Grey",_x000D_
      "product_price": 129_x000D_
    },_x000D_
    "quantity": 2_x000D_
  },_x000D_
  {_x000D_
    "product": {_x000D_
      "product_name": "The Phone Company PDA Phone Unlocked 3.7 inches M510 White",_x000D_
      "product_price": 238_x000D_
    },_x000D_
    "quantity": 4_x000D_
  },_x000D_
  {_x000D_
    "product": {_x000D_
      "product_name": "Fabrikam Laptop10.1 M0101 Silver",_x000D_
      "product_price": 384.9_x000D_
    },_x000D_
    "quantity": 3_x000D_
  },_x000D_
  {_x000D_
    "product": {_x000D_
      "product_name": "SV DVD 14-Inch Player Portable L100 White",_x000D_
      "product_price": 259.99_x000D_
    },_x000D_
    "quantity": 4_x000D_
  }_x000D_
]</v>
      </c>
      <c r="H229" t="str">
        <f t="shared" si="12"/>
        <v>Fabrikam Laptop10.1 M0101 Silver</v>
      </c>
      <c r="I229" s="4">
        <f t="shared" si="13"/>
        <v>3</v>
      </c>
      <c r="J229" s="3">
        <f t="shared" si="14"/>
        <v>384.9</v>
      </c>
      <c r="K229">
        <f t="shared" si="15"/>
        <v>1154.6999999999998</v>
      </c>
    </row>
    <row r="230" spans="1:11" x14ac:dyDescent="0.3">
      <c r="A230">
        <v>229</v>
      </c>
      <c r="B230">
        <f>_xlfn.XMATCH(A230,sales_orders[acu_items],1)</f>
        <v>99</v>
      </c>
      <c r="C230" cm="1">
        <f t="array" ref="C230">A230-IF(B230=1,0,INDEX(sales_orders[acu_items],B230-1))</f>
        <v>4</v>
      </c>
      <c r="D230" cm="1">
        <f t="array" ref="D230">INDEX(sales_orders[order_number],B230)</f>
        <v>2175000</v>
      </c>
      <c r="E230" s="1" cm="1">
        <f t="array" ref="E230">INDEX(sales_orders[order_date],B230)</f>
        <v>44179</v>
      </c>
      <c r="F230" t="str" cm="1">
        <f t="array" ref="F230">INDEX(sales_orders[fulfillment],B230)</f>
        <v>In store</v>
      </c>
      <c r="G230" t="str" cm="1">
        <f t="array" ref="G230">INDEX(sales_orders[line_items],B230)</f>
        <v>[_x000D_
  {_x000D_
    "product": {_x000D_
      "product_name": "The Phone Company Smart phones without camera E100 Grey",_x000D_
      "product_price": 129_x000D_
    },_x000D_
    "quantity": 2_x000D_
  },_x000D_
  {_x000D_
    "product": {_x000D_
      "product_name": "The Phone Company PDA Phone Unlocked 3.7 inches M510 White",_x000D_
      "product_price": 238_x000D_
    },_x000D_
    "quantity": 4_x000D_
  },_x000D_
  {_x000D_
    "product": {_x000D_
      "product_name": "Fabrikam Laptop10.1 M0101 Silver",_x000D_
      "product_price": 384.9_x000D_
    },_x000D_
    "quantity": 3_x000D_
  },_x000D_
  {_x000D_
    "product": {_x000D_
      "product_name": "SV DVD 14-Inch Player Portable L100 White",_x000D_
      "product_price": 259.99_x000D_
    },_x000D_
    "quantity": 4_x000D_
  }_x000D_
]</v>
      </c>
      <c r="H230" t="str">
        <f t="shared" si="12"/>
        <v>SV DVD 14-Inch Player Portable L100 White</v>
      </c>
      <c r="I230" s="4">
        <f t="shared" si="13"/>
        <v>4</v>
      </c>
      <c r="J230" s="3">
        <f t="shared" si="14"/>
        <v>259.99</v>
      </c>
      <c r="K230">
        <f t="shared" si="15"/>
        <v>1039.96</v>
      </c>
    </row>
    <row r="231" spans="1:11" x14ac:dyDescent="0.3">
      <c r="A231">
        <v>230</v>
      </c>
      <c r="B231">
        <f>_xlfn.XMATCH(A231,sales_orders[acu_items],1)</f>
        <v>100</v>
      </c>
      <c r="C231" cm="1">
        <f t="array" ref="C231">A231-IF(B231=1,0,INDEX(sales_orders[acu_items],B231-1))</f>
        <v>1</v>
      </c>
      <c r="D231" cm="1">
        <f t="array" ref="D231">INDEX(sales_orders[order_number],B231)</f>
        <v>2192014</v>
      </c>
      <c r="E231" s="1" cm="1">
        <f t="array" ref="E231">INDEX(sales_orders[order_date],B231)</f>
        <v>44196</v>
      </c>
      <c r="F231" t="str" cm="1">
        <f t="array" ref="F231">INDEX(sales_orders[fulfillment],B231)</f>
        <v>In store</v>
      </c>
      <c r="G231" t="str" cm="1">
        <f t="array" ref="G231">INDEX(sales_orders[line_items],B231)</f>
        <v>[_x000D_
  {_x000D_
    "product": {_x000D_
      "product_name": "WWI Desktop PC1.80 E1801 Black",_x000D_
      "product_price": 269.9_x000D_
    },_x000D_
    "quantity": 10_x000D_
  }_x000D_
]</v>
      </c>
      <c r="H231" t="str">
        <f t="shared" si="12"/>
        <v>WWI Desktop PC1.80 E1801 Black</v>
      </c>
      <c r="I231" s="4">
        <f t="shared" si="13"/>
        <v>10</v>
      </c>
      <c r="J231" s="3">
        <f t="shared" si="14"/>
        <v>269.89999999999998</v>
      </c>
      <c r="K231">
        <f t="shared" si="15"/>
        <v>2699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ABF212-9EFA-4F8D-B525-1E62F05DC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sales_orders</vt:lpstr>
      <vt:lpstr>flattened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Trujillo</dc:creator>
  <cp:lastModifiedBy>Daniel Trujillo - SDP</cp:lastModifiedBy>
  <dcterms:created xsi:type="dcterms:W3CDTF">2026-01-28T03:25:34Z</dcterms:created>
  <dcterms:modified xsi:type="dcterms:W3CDTF">2026-03-08T07:15:24Z</dcterms:modified>
</cp:coreProperties>
</file>